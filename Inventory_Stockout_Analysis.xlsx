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Productos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<sst xmlns="http://schemas.openxmlformats.org/spreadsheetml/2006/main" count="256" uniqueCount="69">
  <si>
    <t>Fecha</t>
  </si>
  <si>
    <t>ID_Producto</t>
  </si>
  <si>
    <t>Nombre</t>
  </si>
  <si>
    <t>Categoría</t>
  </si>
  <si>
    <t>Cantidad</t>
  </si>
  <si>
    <t>Precio_Venta</t>
  </si>
  <si>
    <t>Vendedor</t>
  </si>
  <si>
    <t>Subtotal</t>
  </si>
  <si>
    <t>Stock_Actual</t>
  </si>
  <si>
    <t>Stock_Mínimo</t>
  </si>
  <si>
    <t>P001</t>
  </si>
  <si>
    <t>Coca Cola 2.25L</t>
  </si>
  <si>
    <t>Costo_Unitario</t>
  </si>
  <si>
    <t>Bebidas</t>
  </si>
  <si>
    <t>Total_Vendido</t>
  </si>
  <si>
    <t>Maxi</t>
  </si>
  <si>
    <t>Venta_Promedio_Diaria</t>
  </si>
  <si>
    <t>Días_Stock_Restante</t>
  </si>
  <si>
    <t>Estado</t>
  </si>
  <si>
    <t>Unidades_Para_Recuperar_Minimo</t>
  </si>
  <si>
    <t>Costo_Reposición</t>
  </si>
  <si>
    <t>Ingreso_Total</t>
  </si>
  <si>
    <t>Ingreso_Promedio_Diario</t>
  </si>
  <si>
    <t>Exposición_Semanal_Ventas</t>
  </si>
  <si>
    <t>Producto</t>
  </si>
  <si>
    <t>Días_Cobertura</t>
  </si>
  <si>
    <t>P002</t>
  </si>
  <si>
    <t>Agua Mineral 500ml</t>
  </si>
  <si>
    <t>P003</t>
  </si>
  <si>
    <t>Arroz Largo Fino 1kg</t>
  </si>
  <si>
    <t>Almacén</t>
  </si>
  <si>
    <t>Dashboard - Análisis de Quiebres de Stock</t>
  </si>
  <si>
    <t>Galletitas Oreo 117g</t>
  </si>
  <si>
    <t>Productos Analizados</t>
  </si>
  <si>
    <t>Productos en Riesgo</t>
  </si>
  <si>
    <t>Urgentes</t>
  </si>
  <si>
    <t>Costo Repos. Urgente</t>
  </si>
  <si>
    <t>Leche Entera 1L</t>
  </si>
  <si>
    <t>P004</t>
  </si>
  <si>
    <t>Aceite Girasol 900ml</t>
  </si>
  <si>
    <t>P005</t>
  </si>
  <si>
    <t>Snacks</t>
  </si>
  <si>
    <t>P006</t>
  </si>
  <si>
    <t>Yogur Entero 190g</t>
  </si>
  <si>
    <t>Lácteos</t>
  </si>
  <si>
    <t>Papel Higiénico x4</t>
  </si>
  <si>
    <t>P007</t>
  </si>
  <si>
    <t>P013</t>
  </si>
  <si>
    <t>Mermelada Frutilla 390g</t>
  </si>
  <si>
    <t>Lavandina 1L</t>
  </si>
  <si>
    <t>P011</t>
  </si>
  <si>
    <t>Detergente Magistral 500ml</t>
  </si>
  <si>
    <t>Limpieza</t>
  </si>
  <si>
    <t>P014</t>
  </si>
  <si>
    <t>Atún al Natural 170g</t>
  </si>
  <si>
    <t xml:space="preserve">   </t>
  </si>
  <si>
    <t>P008</t>
  </si>
  <si>
    <t>Jabón Líquido 750ml</t>
  </si>
  <si>
    <t>P009</t>
  </si>
  <si>
    <t>P012</t>
  </si>
  <si>
    <t>P010</t>
  </si>
  <si>
    <t>Fideos Spaghetti 500g</t>
  </si>
  <si>
    <t>P015</t>
  </si>
  <si>
    <t>Manteca 200g</t>
  </si>
  <si>
    <t>Costo total de reposición (todos los productos bajo minimo):</t>
  </si>
  <si>
    <t>Costo de reposición — solo productos URGENTE:</t>
  </si>
  <si>
    <t>Cantidad_Productos</t>
  </si>
  <si>
    <t>Productos_En_Riesgo</t>
  </si>
  <si>
    <t>Costo_Para_Recuperar_Mínimo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</si>
</sst>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&quot;$&quot;#,##0.00"/>
  </numFmts>
  <fonts count="9">
    <font>
      <sz val="10.0"/>
      <color rgb="FF000000"/>
      <name val="Roboto"/>
      <scheme val="minor"/>
    </font>
    <font>
      <color theme="1"/>
      <name val="Roboto"/>
      <scheme val="minor"/>
    </font>
    <font>
      <color rgb="FF434343"/>
      <name val="Roboto"/>
      <scheme val="minor"/>
    </font>
    <font>
      <b/>
      <color rgb="FFFFFFFF"/>
      <name val="Roboto"/>
      <scheme val="minor"/>
    </font>
    <font>
      <b/>
      <sz val="20.0"/>
      <color rgb="FF434343"/>
      <name val="Roboto"/>
      <scheme val="minor"/>
    </font>
    <font>
      <sz val="10.0"/>
      <color rgb="FF666666"/>
      <name val="Roboto"/>
      <scheme val="minor"/>
    </font>
    <font>
      <b/>
      <sz val="22.0"/>
      <color rgb="FF434343"/>
      <name val="Roboto"/>
      <scheme val="minor"/>
    </font>
    <font>
      <b/>
      <color rgb="FF434343"/>
      <name val="Roboto"/>
    </font>
    <font>
      <b/>
      <color rgb="FF434343"/>
      <name val="Roboto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2" xfId="0" applyAlignment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3" fontId="2" numFmtId="1" xfId="0" applyAlignment="1" applyBorder="1" applyFill="1" applyFont="1" applyNumberFormat="1">
      <alignment horizontal="center" readingOrder="0"/>
    </xf>
    <xf borderId="1" fillId="3" fontId="2" numFmtId="165" xfId="0" applyAlignment="1" applyBorder="1" applyFill="1" applyFont="1" applyNumberFormat="1">
      <alignment horizontal="center" readingOrder="0"/>
    </xf>
    <xf borderId="0" fillId="4" fontId="6" numFmtId="0" xfId="0" applyAlignment="1" applyFill="1" applyFont="1">
      <alignment horizontal="center"/>
    </xf>
    <xf borderId="0" fillId="5" fontId="6" numFmtId="0" xfId="0" applyAlignment="1" applyFill="1" applyFont="1">
      <alignment horizontal="center"/>
    </xf>
    <xf borderId="0" fillId="4" fontId="6" numFmtId="165" xfId="0" applyAlignment="1" applyFill="1" applyFont="1" applyNumberFormat="1">
      <alignment horizontal="center"/>
    </xf>
    <xf borderId="0" fillId="3" fontId="2" numFmtId="0" xfId="0" applyAlignment="1" applyFill="1" applyFont="1">
      <alignment horizontal="center" readingOrder="0"/>
    </xf>
    <xf borderId="0" fillId="3" fontId="2" numFmtId="165" xfId="0" applyAlignment="1" applyFill="1" applyFont="1" applyNumberFormat="1">
      <alignment horizontal="center" readingOrder="0"/>
    </xf>
    <xf borderId="0" fillId="3" fontId="1" numFmtId="0" xfId="0" applyFill="1" applyFont="1"/>
    <xf borderId="2" fillId="0" fontId="1" numFmtId="0" xfId="0" applyBorder="1" applyFont="1"/>
    <xf borderId="2" fillId="0" fontId="1" numFmtId="2" xfId="0" applyBorder="1" applyFont="1" applyNumberFormat="1"/>
    <xf borderId="2" fillId="0" fontId="2" numFmtId="0" xfId="0" applyBorder="1" applyFont="1"/>
    <xf borderId="0" fillId="6" fontId="7" numFmtId="0" xfId="0" applyAlignment="1" applyFill="1" applyFont="1">
      <alignment readingOrder="0" shrinkToFit="0" wrapText="1"/>
    </xf>
    <xf borderId="0" fillId="6" fontId="8" numFmtId="165" xfId="0" applyAlignment="1" applyFill="1" applyFont="1" applyNumberFormat="1">
      <alignment horizontal="center"/>
    </xf>
    <xf borderId="0" fillId="0" fontId="1" numFmtId="2" xfId="0" applyFont="1" applyNumberFormat="1"/>
    <xf borderId="0" fillId="0" fontId="2" numFmtId="2" xfId="0" applyFont="1" applyNumberFormat="1"/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  <tableStyles count="5">
    <tableStyle count="4" pivot="0" name="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oductos-style 2">
      <tableStyleElement dxfId="2" type="firstRowStripe"/>
      <tableStyleElement dxfId="3" type="secondRowStripe"/>
    </tableStyle>
    <tableStyle count="2" pivot="0" name="Productos-style 3">
      <tableStyleElement dxfId="2" type="firstRowStripe"/>
      <tableStyleElement dxfId="3" type="secondRowStripe"/>
    </tableStyle>
    <tableStyle count="4" pivot="0" name="Productos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434343"/>
                </a:solidFill>
                <a:latin typeface="+mn-lt"/>
              </a:defRPr>
            </a:pPr>
            <a:r>
              <a:rPr b="1" sz="1800">
                <a:solidFill>
                  <a:srgbClr val="434343"/>
                </a:solidFill>
                <a:latin typeface="+mn-lt"/>
              </a:rPr>
              <a:t>Días De Cobertura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Productos!$R$1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Productos!$Q$2:$Q$16</c:f>
            </c:strRef>
          </c:cat>
          <c:val>
            <c:numRef>
              <c:f>Productos!$R$2:$R$16</c:f>
              <c:numCache/>
            </c:numRef>
          </c:val>
        </c:ser>
        <c:axId val="1024401196"/>
        <c:axId val="1748832085"/>
      </c:barChart>
      <c:catAx>
        <c:axId val="10244011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1">
                <a:solidFill>
                  <a:srgbClr val="434343"/>
                </a:solidFill>
                <a:latin typeface="+mn-lt"/>
              </a:defRPr>
            </a:pPr>
          </a:p>
        </c:txPr>
        <c:crossAx val="1748832085"/>
      </c:catAx>
      <c:valAx>
        <c:axId val="17488320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Dias_Cobertura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10244011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434343"/>
                </a:solidFill>
                <a:latin typeface="+mn-lt"/>
              </a:defRPr>
            </a:pPr>
            <a:r>
              <a:rPr b="1" sz="1800">
                <a:solidFill>
                  <a:srgbClr val="434343"/>
                </a:solidFill>
                <a:latin typeface="+mn-lt"/>
              </a:rPr>
              <a:t>Exposición semanal de ventas por producto ($)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Productos!$U$1</c:f>
            </c:strRef>
          </c:tx>
          <c:spPr>
            <a:solidFill>
              <a:srgbClr val="2A9D8F"/>
            </a:solidFill>
            <a:ln cmpd="sng">
              <a:noFill/>
            </a:ln>
          </c:spPr>
          <c:invertIfNegative val="0"/>
          <c:cat>
            <c:strRef>
              <c:f>Productos!$T$2:$T$16</c:f>
            </c:strRef>
          </c:cat>
          <c:val>
            <c:numRef>
              <c:f>Productos!$U$2:$U$16</c:f>
              <c:numCache/>
            </c:numRef>
          </c:val>
        </c:ser>
        <c:axId val="359704008"/>
        <c:axId val="316157125"/>
      </c:barChart>
      <c:catAx>
        <c:axId val="3597040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316157125"/>
      </c:catAx>
      <c:valAx>
        <c:axId val="3161571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Exposición_Semanal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3597040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Productos En Riesgo Por Categoría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Productos!$C$21</c:f>
            </c:strRef>
          </c:tx>
          <c:spPr>
            <a:solidFill>
              <a:srgbClr val="E9A23B"/>
            </a:solidFill>
            <a:ln cmpd="sng">
              <a:noFill/>
            </a:ln>
          </c:spPr>
          <c:invertIfNegative val="0"/>
          <c:cat>
            <c:strRef>
              <c:f>Productos!$A$22:$A$26</c:f>
            </c:strRef>
          </c:cat>
          <c:val>
            <c:numRef>
              <c:f>Productos!$C$22:$C$26</c:f>
              <c:numCache/>
            </c:numRef>
          </c:val>
        </c:ser>
        <c:axId val="1811285036"/>
        <c:axId val="1542202482"/>
      </c:barChart>
      <c:catAx>
        <c:axId val="1811285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Categoría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1542202482"/>
      </c:catAx>
      <c:valAx>
        <c:axId val="1542202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Productos_En_Riesgo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1811285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666666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76581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952500</xdr:colOff>
      <xdr:row>5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85725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1" displayName="Registro_Ventas" name="Registro_Ventas" id="1">
  <tableColumns count="10">
    <tableColumn name="Fecha" id="1"/>
    <tableColumn name="ID_Producto" id="2"/>
    <tableColumn name="Nombre" id="3"/>
    <tableColumn name="Categoría" id="4"/>
    <tableColumn name="Cantidad" id="5"/>
    <tableColumn name="Precio_Venta" id="6"/>
    <tableColumn name="Vendedor" id="7"/>
    <tableColumn name="Subtotal" id="8"/>
    <tableColumn name="Stock_Actual" id="9"/>
    <tableColumn name="Stock_Mínimo" id="10"/>
  </tableColumns>
  <tableStyleInfo name="Ventas-style" showColumnStripes="0" showFirstColumn="1" showLastColumn="1" showRowStripes="1"/>
</table>
</file>

<file path=xl/tables/table2.xml><?xml version="1.0" encoding="utf-8"?>
<table xmlns="http://schemas.openxmlformats.org/spreadsheetml/2006/main" ref="A1:O16" displayName="Inventory_Management" name="Inventory_Management" id="2">
  <tableColumns count="15">
    <tableColumn name="ID_Producto" id="1"/>
    <tableColumn name="Nombre" id="2"/>
    <tableColumn name="Costo_Unitario" id="3"/>
    <tableColumn name="Stock_Actual" id="4"/>
    <tableColumn name="Stock_Mínimo" id="5"/>
    <tableColumn name="Total_Vendido" id="6"/>
    <tableColumn name="Venta_Promedio_Diaria" id="7"/>
    <tableColumn name="Días_Stock_Restante" id="8"/>
    <tableColumn name="Estado" id="9"/>
    <tableColumn name="Unidades_Para_Recuperar_Minimo" id="10"/>
    <tableColumn name="Costo_Reposición" id="11"/>
    <tableColumn name="Categoría" id="12"/>
    <tableColumn name="Ingreso_Total" id="13"/>
    <tableColumn name="Ingreso_Promedio_Diario" id="14"/>
    <tableColumn name="Exposición_Semanal_Ventas" id="15"/>
  </tableColumns>
  <tableStyleInfo name="Productos-style" showColumnStripes="0" showFirstColumn="1" showLastColumn="1" showRowStripes="1"/>
</table>
</file>

<file path=xl/tables/table3.xml><?xml version="1.0" encoding="utf-8"?>
<table xmlns="http://schemas.openxmlformats.org/spreadsheetml/2006/main" headerRowCount="0" ref="Q2:R16" displayName="Table_1" name="Table_1" id="3">
  <tableColumns count="2">
    <tableColumn name="Column1" id="1"/>
    <tableColumn name="Column2" id="2"/>
  </tableColumns>
  <tableStyleInfo name="Product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T2:U16" displayName="Table_2" name="Table_2" id="4">
  <tableColumns count="2">
    <tableColumn name="Column1" id="1"/>
    <tableColumn name="Column2" id="2"/>
  </tableColumns>
  <tableStyleInfo name="Productos-style 3" showColumnStripes="0" showFirstColumn="1" showLastColumn="1" showRowStripes="1"/>
</table>
</file>

<file path=xl/tables/table5.xml><?xml version="1.0" encoding="utf-8"?>
<table xmlns="http://schemas.openxmlformats.org/spreadsheetml/2006/main" ref="A21:D26" displayName="Resumen_Por_Categoría" name="Resumen_Por_Categoría" id="5">
  <tableColumns count="4">
    <tableColumn name="Categoría" id="1"/>
    <tableColumn name="Cantidad_Productos" id="2"/>
    <tableColumn name="Productos_En_Riesgo" id="3"/>
    <tableColumn name="Costo_Para_Recuperar_Mínimo" id="4"/>
  </tableColumns>
  <tableStyleInfo name="Producto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FFFFFF"/>
      </a:dk1>
      <a:lt1>
        <a:srgbClr val="FFFFFF"/>
      </a:lt1>
      <a:dk2>
        <a:srgbClr val="FFFFFF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7.75"/>
    <col customWidth="1" min="3" max="3" width="22.88"/>
    <col customWidth="1" min="4" max="4" width="16.38"/>
    <col customWidth="1" min="5" max="5" width="15.75"/>
    <col customWidth="1" min="6" max="6" width="18.5"/>
    <col customWidth="1" min="8" max="8" width="14.88"/>
    <col customWidth="1" min="9" max="9" width="15.13"/>
    <col customWidth="1" min="10" max="10" width="1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</row>
    <row r="2" ht="22.5" customHeight="1">
      <c r="A2" s="5">
        <v>45717.0</v>
      </c>
      <c r="B2" s="6" t="s">
        <v>10</v>
      </c>
      <c r="C2" s="1" t="s">
        <v>11</v>
      </c>
      <c r="D2" s="7" t="s">
        <v>13</v>
      </c>
      <c r="E2" s="8">
        <v>12.0</v>
      </c>
      <c r="F2" s="9">
        <v>850.0</v>
      </c>
      <c r="G2" s="1" t="s">
        <v>15</v>
      </c>
      <c r="H2" s="12">
        <f>Registro_Ventas[Cantidad] * Registro_Ventas[Precio_Venta]</f>
        <v>10200</v>
      </c>
      <c r="I2" s="14">
        <f>VLOOKUP(B2, Productos!A:E, 4, FALSE)</f>
        <v>4</v>
      </c>
      <c r="J2" s="14">
        <f>VLOOKUP(B2, Productos!A:E, 5, FALSE)</f>
        <v>20</v>
      </c>
      <c r="K2" s="4"/>
      <c r="L2" s="4"/>
      <c r="M2" s="4"/>
    </row>
    <row r="3" ht="22.5" customHeight="1">
      <c r="A3" s="5">
        <v>45717.0</v>
      </c>
      <c r="B3" s="6" t="s">
        <v>26</v>
      </c>
      <c r="C3" s="1" t="s">
        <v>27</v>
      </c>
      <c r="D3" s="7" t="s">
        <v>13</v>
      </c>
      <c r="E3" s="8">
        <v>8.0</v>
      </c>
      <c r="F3" s="9">
        <v>320.0</v>
      </c>
      <c r="G3" s="1" t="s">
        <v>15</v>
      </c>
      <c r="H3" s="12">
        <f>Registro_Ventas[Cantidad] * Registro_Ventas[Precio_Venta]</f>
        <v>2560</v>
      </c>
      <c r="I3" s="14">
        <f>VLOOKUP(B3, Productos!A:E, 4, FALSE)</f>
        <v>35</v>
      </c>
      <c r="J3" s="14">
        <f>VLOOKUP(B3, Productos!A:E, 5, FALSE)</f>
        <v>15</v>
      </c>
      <c r="K3" s="4"/>
      <c r="L3" s="4"/>
      <c r="M3" s="4"/>
    </row>
    <row r="4" ht="22.5" customHeight="1">
      <c r="A4" s="5">
        <v>45717.0</v>
      </c>
      <c r="B4" s="6" t="s">
        <v>28</v>
      </c>
      <c r="C4" s="1" t="s">
        <v>29</v>
      </c>
      <c r="D4" s="7" t="s">
        <v>30</v>
      </c>
      <c r="E4" s="8">
        <v>5.0</v>
      </c>
      <c r="F4" s="9">
        <v>1200.0</v>
      </c>
      <c r="G4" s="1" t="s">
        <v>15</v>
      </c>
      <c r="H4" s="12">
        <f>Registro_Ventas[Cantidad] * Registro_Ventas[Precio_Venta]</f>
        <v>6000</v>
      </c>
      <c r="I4" s="14">
        <f>VLOOKUP(B4, Productos!A:E, 4, FALSE)</f>
        <v>8</v>
      </c>
      <c r="J4" s="14">
        <f>VLOOKUP(B4, Productos!A:E, 5, FALSE)</f>
        <v>10</v>
      </c>
      <c r="K4" s="4"/>
      <c r="L4" s="4"/>
      <c r="M4" s="4"/>
    </row>
    <row r="5" ht="22.5" customHeight="1">
      <c r="A5" s="5">
        <v>45718.0</v>
      </c>
      <c r="B5" s="6" t="s">
        <v>10</v>
      </c>
      <c r="C5" s="1" t="s">
        <v>11</v>
      </c>
      <c r="D5" s="7" t="s">
        <v>13</v>
      </c>
      <c r="E5" s="8">
        <v>6.0</v>
      </c>
      <c r="F5" s="9">
        <v>850.0</v>
      </c>
      <c r="G5" s="1" t="s">
        <v>15</v>
      </c>
      <c r="H5" s="12">
        <f>Registro_Ventas[Cantidad] * Registro_Ventas[Precio_Venta]</f>
        <v>5100</v>
      </c>
      <c r="I5" s="14">
        <f>VLOOKUP(B5, Productos!A:E, 4, FALSE)</f>
        <v>4</v>
      </c>
      <c r="J5" s="14">
        <f>VLOOKUP(B5, Productos!A:E, 5, FALSE)</f>
        <v>20</v>
      </c>
      <c r="K5" s="4"/>
      <c r="L5" s="4"/>
      <c r="M5" s="4"/>
    </row>
    <row r="6" ht="22.5" customHeight="1">
      <c r="A6" s="5">
        <v>45718.0</v>
      </c>
      <c r="B6" s="6" t="s">
        <v>38</v>
      </c>
      <c r="C6" s="1" t="s">
        <v>39</v>
      </c>
      <c r="D6" s="7" t="s">
        <v>30</v>
      </c>
      <c r="E6" s="8">
        <v>4.0</v>
      </c>
      <c r="F6" s="9">
        <v>1800.0</v>
      </c>
      <c r="G6" s="1" t="s">
        <v>15</v>
      </c>
      <c r="H6" s="12">
        <f>Registro_Ventas[Cantidad] * Registro_Ventas[Precio_Venta]</f>
        <v>7200</v>
      </c>
      <c r="I6" s="14">
        <f>VLOOKUP(B6, Productos!A:E, 4, FALSE)</f>
        <v>6</v>
      </c>
      <c r="J6" s="14">
        <f>VLOOKUP(B6, Productos!A:E, 5, FALSE)</f>
        <v>8</v>
      </c>
      <c r="K6" s="4"/>
      <c r="L6" s="4"/>
      <c r="M6" s="4"/>
    </row>
    <row r="7" ht="22.5" customHeight="1">
      <c r="A7" s="5">
        <v>45718.0</v>
      </c>
      <c r="B7" s="6" t="s">
        <v>40</v>
      </c>
      <c r="C7" s="1" t="s">
        <v>32</v>
      </c>
      <c r="D7" s="7" t="s">
        <v>41</v>
      </c>
      <c r="E7" s="8">
        <v>10.0</v>
      </c>
      <c r="F7" s="9">
        <v>650.0</v>
      </c>
      <c r="G7" s="1" t="s">
        <v>15</v>
      </c>
      <c r="H7" s="12">
        <f>Registro_Ventas[Cantidad] * Registro_Ventas[Precio_Venta]</f>
        <v>6500</v>
      </c>
      <c r="I7" s="14">
        <f>VLOOKUP(B7, Productos!A:E, 4, FALSE)</f>
        <v>3</v>
      </c>
      <c r="J7" s="14">
        <f>VLOOKUP(B7, Productos!A:E, 5, FALSE)</f>
        <v>12</v>
      </c>
      <c r="K7" s="4"/>
      <c r="L7" s="4"/>
      <c r="M7" s="4"/>
    </row>
    <row r="8" ht="22.5" customHeight="1">
      <c r="A8" s="5">
        <v>45719.0</v>
      </c>
      <c r="B8" s="6" t="s">
        <v>28</v>
      </c>
      <c r="C8" s="1" t="s">
        <v>29</v>
      </c>
      <c r="D8" s="7" t="s">
        <v>30</v>
      </c>
      <c r="E8" s="8">
        <v>3.0</v>
      </c>
      <c r="F8" s="9">
        <v>1200.0</v>
      </c>
      <c r="G8" s="1" t="s">
        <v>15</v>
      </c>
      <c r="H8" s="12">
        <f>Registro_Ventas[Cantidad] * Registro_Ventas[Precio_Venta]</f>
        <v>3600</v>
      </c>
      <c r="I8" s="14">
        <f>VLOOKUP(B8, Productos!A:E, 4, FALSE)</f>
        <v>8</v>
      </c>
      <c r="J8" s="14">
        <f>VLOOKUP(B8, Productos!A:E, 5, FALSE)</f>
        <v>10</v>
      </c>
      <c r="K8" s="4"/>
      <c r="L8" s="4"/>
      <c r="M8" s="4"/>
    </row>
    <row r="9" ht="22.5" customHeight="1">
      <c r="A9" s="5">
        <v>45719.0</v>
      </c>
      <c r="B9" s="6" t="s">
        <v>42</v>
      </c>
      <c r="C9" s="1" t="s">
        <v>43</v>
      </c>
      <c r="D9" s="7" t="s">
        <v>44</v>
      </c>
      <c r="E9" s="8">
        <v>9.0</v>
      </c>
      <c r="F9" s="9">
        <v>480.0</v>
      </c>
      <c r="G9" s="1" t="s">
        <v>15</v>
      </c>
      <c r="H9" s="12">
        <f>Registro_Ventas[Cantidad] * Registro_Ventas[Precio_Venta]</f>
        <v>4320</v>
      </c>
      <c r="I9" s="14">
        <f>VLOOKUP(B9, Productos!A:E, 4, FALSE)</f>
        <v>14</v>
      </c>
      <c r="J9" s="14">
        <f>VLOOKUP(B9, Productos!A:E, 5, FALSE)</f>
        <v>10</v>
      </c>
      <c r="K9" s="4"/>
      <c r="L9" s="4"/>
      <c r="M9" s="4"/>
    </row>
    <row r="10" ht="22.5" customHeight="1">
      <c r="A10" s="5">
        <v>45719.0</v>
      </c>
      <c r="B10" s="6" t="s">
        <v>46</v>
      </c>
      <c r="C10" s="1" t="s">
        <v>37</v>
      </c>
      <c r="D10" s="7" t="s">
        <v>44</v>
      </c>
      <c r="E10" s="8">
        <v>14.0</v>
      </c>
      <c r="F10" s="9">
        <v>720.0</v>
      </c>
      <c r="G10" s="1" t="s">
        <v>15</v>
      </c>
      <c r="H10" s="12">
        <f>Registro_Ventas[Cantidad] * Registro_Ventas[Precio_Venta]</f>
        <v>10080</v>
      </c>
      <c r="I10" s="14">
        <f>VLOOKUP(B10, Productos!A:E, 4, FALSE)</f>
        <v>7</v>
      </c>
      <c r="J10" s="14">
        <f>VLOOKUP(B10, Productos!A:E, 5, FALSE)</f>
        <v>15</v>
      </c>
      <c r="K10" s="4"/>
      <c r="L10" s="4"/>
      <c r="M10" s="4"/>
    </row>
    <row r="11" ht="22.5" customHeight="1">
      <c r="A11" s="5">
        <v>45729.0</v>
      </c>
      <c r="B11" s="6" t="s">
        <v>42</v>
      </c>
      <c r="C11" s="1" t="s">
        <v>43</v>
      </c>
      <c r="D11" s="7" t="s">
        <v>44</v>
      </c>
      <c r="E11" s="8">
        <v>7.0</v>
      </c>
      <c r="F11" s="9">
        <v>480.0</v>
      </c>
      <c r="G11" s="1" t="s">
        <v>15</v>
      </c>
      <c r="H11" s="12">
        <f>Registro_Ventas[Cantidad] * Registro_Ventas[Precio_Venta]</f>
        <v>3360</v>
      </c>
      <c r="I11" s="14">
        <f>VLOOKUP(B11, Productos!A:E, 4, FALSE)</f>
        <v>14</v>
      </c>
      <c r="J11" s="14">
        <f>VLOOKUP(B11, Productos!A:E, 5, FALSE)</f>
        <v>10</v>
      </c>
      <c r="K11" s="4"/>
      <c r="L11" s="4"/>
      <c r="M11" s="4"/>
    </row>
    <row r="12" ht="22.5" customHeight="1">
      <c r="A12" s="5">
        <v>45729.0</v>
      </c>
      <c r="B12" s="6" t="s">
        <v>47</v>
      </c>
      <c r="C12" s="1" t="s">
        <v>48</v>
      </c>
      <c r="D12" s="7" t="s">
        <v>30</v>
      </c>
      <c r="E12" s="8">
        <v>3.0</v>
      </c>
      <c r="F12" s="9">
        <v>1050.0</v>
      </c>
      <c r="G12" s="1" t="s">
        <v>15</v>
      </c>
      <c r="H12" s="12">
        <f>Registro_Ventas[Cantidad] * Registro_Ventas[Precio_Venta]</f>
        <v>3150</v>
      </c>
      <c r="I12" s="14">
        <f>VLOOKUP(B12, Productos!A:E, 4, FALSE)</f>
        <v>12</v>
      </c>
      <c r="J12" s="14">
        <f>VLOOKUP(B12, Productos!A:E, 5, FALSE)</f>
        <v>8</v>
      </c>
      <c r="K12" s="4"/>
      <c r="L12" s="4"/>
      <c r="M12" s="4"/>
    </row>
    <row r="13" ht="22.5" customHeight="1">
      <c r="A13" s="5">
        <v>45730.0</v>
      </c>
      <c r="B13" s="6" t="s">
        <v>28</v>
      </c>
      <c r="C13" s="1" t="s">
        <v>29</v>
      </c>
      <c r="D13" s="7" t="s">
        <v>30</v>
      </c>
      <c r="E13" s="8">
        <v>4.0</v>
      </c>
      <c r="F13" s="9">
        <v>1200.0</v>
      </c>
      <c r="G13" s="1" t="s">
        <v>15</v>
      </c>
      <c r="H13" s="12">
        <f>Registro_Ventas[Cantidad] * Registro_Ventas[Precio_Venta]</f>
        <v>4800</v>
      </c>
      <c r="I13" s="14">
        <f>VLOOKUP(B13, Productos!A:E, 4, FALSE)</f>
        <v>8</v>
      </c>
      <c r="J13" s="14">
        <f>VLOOKUP(B13, Productos!A:E, 5, FALSE)</f>
        <v>10</v>
      </c>
      <c r="K13" s="4"/>
      <c r="L13" s="4"/>
      <c r="M13" s="4"/>
    </row>
    <row r="14" ht="22.5" customHeight="1">
      <c r="A14" s="5">
        <v>45730.0</v>
      </c>
      <c r="B14" s="6" t="s">
        <v>50</v>
      </c>
      <c r="C14" s="1" t="s">
        <v>51</v>
      </c>
      <c r="D14" s="7" t="s">
        <v>52</v>
      </c>
      <c r="E14" s="8">
        <v>6.0</v>
      </c>
      <c r="F14" s="9">
        <v>980.0</v>
      </c>
      <c r="G14" s="1" t="s">
        <v>15</v>
      </c>
      <c r="H14" s="12">
        <f>Registro_Ventas[Cantidad] * Registro_Ventas[Precio_Venta]</f>
        <v>5880</v>
      </c>
      <c r="I14" s="14">
        <f>VLOOKUP(B14, Productos!A:E, 4, FALSE)</f>
        <v>9</v>
      </c>
      <c r="J14" s="14">
        <f>VLOOKUP(B14, Productos!A:E, 5, FALSE)</f>
        <v>8</v>
      </c>
      <c r="K14" s="4"/>
      <c r="L14" s="4"/>
      <c r="M14" s="4"/>
    </row>
    <row r="15" ht="22.5" customHeight="1">
      <c r="A15" s="5">
        <v>45732.0</v>
      </c>
      <c r="B15" s="6" t="s">
        <v>53</v>
      </c>
      <c r="C15" s="1" t="s">
        <v>54</v>
      </c>
      <c r="D15" s="7" t="s">
        <v>30</v>
      </c>
      <c r="E15" s="8">
        <v>5.0</v>
      </c>
      <c r="F15" s="9">
        <v>780.0</v>
      </c>
      <c r="G15" s="1" t="s">
        <v>15</v>
      </c>
      <c r="H15" s="12">
        <f>Registro_Ventas[Cantidad] * Registro_Ventas[Precio_Venta]</f>
        <v>3900</v>
      </c>
      <c r="I15" s="14">
        <f>VLOOKUP(B15, Productos!A:E, 4, FALSE)</f>
        <v>5</v>
      </c>
      <c r="J15" s="14">
        <f>VLOOKUP(B15, Productos!A:E, 5, FALSE)</f>
        <v>8</v>
      </c>
      <c r="K15" s="4"/>
      <c r="L15" s="4"/>
      <c r="M15" s="4"/>
    </row>
    <row r="16" ht="22.5" customHeight="1">
      <c r="A16" s="5">
        <v>45733.0</v>
      </c>
      <c r="B16" s="6" t="s">
        <v>38</v>
      </c>
      <c r="C16" s="1" t="s">
        <v>39</v>
      </c>
      <c r="D16" s="7" t="s">
        <v>30</v>
      </c>
      <c r="E16" s="8">
        <v>2.0</v>
      </c>
      <c r="F16" s="9">
        <v>1800.0</v>
      </c>
      <c r="G16" s="1" t="s">
        <v>15</v>
      </c>
      <c r="H16" s="12">
        <f>Registro_Ventas[Cantidad] * Registro_Ventas[Precio_Venta]</f>
        <v>3600</v>
      </c>
      <c r="I16" s="14">
        <f>VLOOKUP(B16, Productos!A:E, 4, FALSE)</f>
        <v>6</v>
      </c>
      <c r="J16" s="14">
        <f>VLOOKUP(B16, Productos!A:E, 5, FALSE)</f>
        <v>8</v>
      </c>
      <c r="K16" s="4"/>
      <c r="L16" s="4"/>
      <c r="M16" s="4"/>
    </row>
    <row r="17" ht="22.5" customHeight="1">
      <c r="A17" s="5">
        <v>45733.0</v>
      </c>
      <c r="B17" s="6" t="s">
        <v>46</v>
      </c>
      <c r="C17" s="1" t="s">
        <v>37</v>
      </c>
      <c r="D17" s="7" t="s">
        <v>44</v>
      </c>
      <c r="E17" s="8">
        <v>11.0</v>
      </c>
      <c r="F17" s="9">
        <v>720.0</v>
      </c>
      <c r="G17" s="1" t="s">
        <v>15</v>
      </c>
      <c r="H17" s="12">
        <f>Registro_Ventas[Cantidad] * Registro_Ventas[Precio_Venta]</f>
        <v>7920</v>
      </c>
      <c r="I17" s="14">
        <f>VLOOKUP(B17, Productos!A:E, 4, FALSE)</f>
        <v>7</v>
      </c>
      <c r="J17" s="14">
        <f>VLOOKUP(B17, Productos!A:E, 5, FALSE)</f>
        <v>15</v>
      </c>
      <c r="K17" s="4"/>
      <c r="L17" s="4"/>
      <c r="M17" s="4"/>
    </row>
    <row r="18" ht="22.5" customHeight="1">
      <c r="A18" s="5">
        <v>45736.0</v>
      </c>
      <c r="B18" s="6" t="s">
        <v>59</v>
      </c>
      <c r="C18" s="1" t="s">
        <v>45</v>
      </c>
      <c r="D18" s="7" t="s">
        <v>52</v>
      </c>
      <c r="E18" s="8">
        <v>8.0</v>
      </c>
      <c r="F18" s="9">
        <v>1350.0</v>
      </c>
      <c r="G18" s="1" t="s">
        <v>15</v>
      </c>
      <c r="H18" s="12">
        <f>Registro_Ventas[Cantidad] * Registro_Ventas[Precio_Venta]</f>
        <v>10800</v>
      </c>
      <c r="I18" s="14">
        <f>VLOOKUP(B18, Productos!A:E, 4, FALSE)</f>
        <v>3</v>
      </c>
      <c r="J18" s="14">
        <f>VLOOKUP(B18, Productos!A:E, 5, FALSE)</f>
        <v>6</v>
      </c>
      <c r="K18" s="4"/>
      <c r="L18" s="4"/>
      <c r="M18" s="4"/>
    </row>
    <row r="19" ht="22.5" customHeight="1">
      <c r="A19" s="5">
        <v>45745.0</v>
      </c>
      <c r="B19" s="6" t="s">
        <v>26</v>
      </c>
      <c r="C19" s="1" t="s">
        <v>27</v>
      </c>
      <c r="D19" s="7" t="s">
        <v>13</v>
      </c>
      <c r="E19" s="8">
        <v>13.0</v>
      </c>
      <c r="F19" s="9">
        <v>320.0</v>
      </c>
      <c r="G19" s="1" t="s">
        <v>15</v>
      </c>
      <c r="H19" s="12">
        <f>Registro_Ventas[Cantidad] * Registro_Ventas[Precio_Venta]</f>
        <v>4160</v>
      </c>
      <c r="I19" s="14">
        <f>VLOOKUP(B19, Productos!A:E, 4, FALSE)</f>
        <v>35</v>
      </c>
      <c r="J19" s="14">
        <f>VLOOKUP(B19, Productos!A:E, 5, FALSE)</f>
        <v>15</v>
      </c>
      <c r="K19" s="4"/>
      <c r="L19" s="4"/>
      <c r="M19" s="4"/>
    </row>
    <row r="20" ht="22.5" customHeight="1">
      <c r="A20" s="5">
        <v>45749.0</v>
      </c>
      <c r="B20" s="6" t="s">
        <v>26</v>
      </c>
      <c r="C20" s="1" t="s">
        <v>27</v>
      </c>
      <c r="D20" s="7" t="s">
        <v>13</v>
      </c>
      <c r="E20" s="8">
        <v>11.0</v>
      </c>
      <c r="F20" s="9">
        <v>320.0</v>
      </c>
      <c r="G20" s="1" t="s">
        <v>15</v>
      </c>
      <c r="H20" s="12">
        <f>Registro_Ventas[Cantidad] * Registro_Ventas[Precio_Venta]</f>
        <v>3520</v>
      </c>
      <c r="I20" s="14">
        <f>VLOOKUP(B20, Productos!A:E, 4, FALSE)</f>
        <v>35</v>
      </c>
      <c r="J20" s="14">
        <f>VLOOKUP(B20, Productos!A:E, 5, FALSE)</f>
        <v>15</v>
      </c>
      <c r="K20" s="4"/>
      <c r="L20" s="4"/>
      <c r="M20" s="4"/>
    </row>
    <row r="21" ht="22.5" customHeight="1">
      <c r="A21" s="5">
        <v>45749.0</v>
      </c>
      <c r="B21" s="6" t="s">
        <v>56</v>
      </c>
      <c r="C21" s="1" t="s">
        <v>57</v>
      </c>
      <c r="D21" s="7" t="s">
        <v>52</v>
      </c>
      <c r="E21" s="8">
        <v>6.0</v>
      </c>
      <c r="F21" s="9">
        <v>1100.0</v>
      </c>
      <c r="G21" s="1" t="s">
        <v>15</v>
      </c>
      <c r="H21" s="12">
        <f>Registro_Ventas[Cantidad] * Registro_Ventas[Precio_Venta]</f>
        <v>6600</v>
      </c>
      <c r="I21" s="14">
        <f>VLOOKUP(B21, Productos!A:E, 4, FALSE)</f>
        <v>11</v>
      </c>
      <c r="J21" s="14">
        <f>VLOOKUP(B21, Productos!A:E, 5, FALSE)</f>
        <v>8</v>
      </c>
      <c r="K21" s="4"/>
      <c r="L21" s="4"/>
      <c r="M21" s="4"/>
    </row>
    <row r="22" ht="22.5" customHeight="1">
      <c r="A22" s="5">
        <v>45749.0</v>
      </c>
      <c r="B22" s="6" t="s">
        <v>58</v>
      </c>
      <c r="C22" s="1" t="s">
        <v>49</v>
      </c>
      <c r="D22" s="7" t="s">
        <v>52</v>
      </c>
      <c r="E22" s="8">
        <v>8.0</v>
      </c>
      <c r="F22" s="9">
        <v>550.0</v>
      </c>
      <c r="G22" s="1" t="s">
        <v>15</v>
      </c>
      <c r="H22" s="12">
        <f>Registro_Ventas[Cantidad] * Registro_Ventas[Precio_Venta]</f>
        <v>4400</v>
      </c>
      <c r="I22" s="14">
        <f>VLOOKUP(B22, Productos!A:E, 4, FALSE)</f>
        <v>4</v>
      </c>
      <c r="J22" s="14">
        <f>VLOOKUP(B22, Productos!A:E, 5, FALSE)</f>
        <v>10</v>
      </c>
      <c r="K22" s="4"/>
      <c r="L22" s="4"/>
      <c r="M22" s="4"/>
    </row>
    <row r="23" ht="22.5" customHeight="1">
      <c r="A23" s="5">
        <v>45752.0</v>
      </c>
      <c r="B23" s="6" t="s">
        <v>40</v>
      </c>
      <c r="C23" s="1" t="s">
        <v>32</v>
      </c>
      <c r="D23" s="7" t="s">
        <v>41</v>
      </c>
      <c r="E23" s="8">
        <v>13.0</v>
      </c>
      <c r="F23" s="9">
        <v>650.0</v>
      </c>
      <c r="G23" s="1" t="s">
        <v>15</v>
      </c>
      <c r="H23" s="12">
        <f>Registro_Ventas[Cantidad] * Registro_Ventas[Precio_Venta]</f>
        <v>8450</v>
      </c>
      <c r="I23" s="14">
        <f>VLOOKUP(B23, Productos!A:E, 4, FALSE)</f>
        <v>3</v>
      </c>
      <c r="J23" s="14">
        <f>VLOOKUP(B23, Productos!A:E, 5, FALSE)</f>
        <v>12</v>
      </c>
      <c r="K23" s="4"/>
      <c r="L23" s="4"/>
      <c r="M23" s="4"/>
    </row>
    <row r="24" ht="22.5" customHeight="1">
      <c r="A24" s="5">
        <v>45752.0</v>
      </c>
      <c r="B24" s="6" t="s">
        <v>42</v>
      </c>
      <c r="C24" s="1" t="s">
        <v>43</v>
      </c>
      <c r="D24" s="7" t="s">
        <v>44</v>
      </c>
      <c r="E24" s="8">
        <v>5.0</v>
      </c>
      <c r="F24" s="9">
        <v>480.0</v>
      </c>
      <c r="G24" s="1" t="s">
        <v>15</v>
      </c>
      <c r="H24" s="12">
        <f>Registro_Ventas[Cantidad] * Registro_Ventas[Precio_Venta]</f>
        <v>2400</v>
      </c>
      <c r="I24" s="14">
        <f>VLOOKUP(B24, Productos!A:E, 4, FALSE)</f>
        <v>14</v>
      </c>
      <c r="J24" s="14">
        <f>VLOOKUP(B24, Productos!A:E, 5, FALSE)</f>
        <v>10</v>
      </c>
      <c r="K24" s="4"/>
      <c r="L24" s="4"/>
      <c r="M24" s="4"/>
    </row>
    <row r="25" ht="22.5" customHeight="1">
      <c r="A25" s="5">
        <v>45752.0</v>
      </c>
      <c r="B25" s="6" t="s">
        <v>60</v>
      </c>
      <c r="C25" s="1" t="s">
        <v>61</v>
      </c>
      <c r="D25" s="7" t="s">
        <v>30</v>
      </c>
      <c r="E25" s="8">
        <v>7.0</v>
      </c>
      <c r="F25" s="9">
        <v>890.0</v>
      </c>
      <c r="G25" s="1" t="s">
        <v>15</v>
      </c>
      <c r="H25" s="12">
        <f>Registro_Ventas[Cantidad] * Registro_Ventas[Precio_Venta]</f>
        <v>6230</v>
      </c>
      <c r="I25" s="14">
        <f>VLOOKUP(B25, Productos!A:E, 4, FALSE)</f>
        <v>16</v>
      </c>
      <c r="J25" s="14">
        <f>VLOOKUP(B25, Productos!A:E, 5, FALSE)</f>
        <v>10</v>
      </c>
      <c r="K25" s="4"/>
      <c r="L25" s="4"/>
      <c r="M25" s="4"/>
    </row>
    <row r="26" ht="22.5" customHeight="1">
      <c r="A26" s="5">
        <v>45755.0</v>
      </c>
      <c r="B26" s="6" t="s">
        <v>10</v>
      </c>
      <c r="C26" s="1" t="s">
        <v>11</v>
      </c>
      <c r="D26" s="7" t="s">
        <v>13</v>
      </c>
      <c r="E26" s="8">
        <v>9.0</v>
      </c>
      <c r="F26" s="9">
        <v>850.0</v>
      </c>
      <c r="G26" s="1" t="s">
        <v>15</v>
      </c>
      <c r="H26" s="12">
        <f>Registro_Ventas[Cantidad] * Registro_Ventas[Precio_Venta]</f>
        <v>7650</v>
      </c>
      <c r="I26" s="14">
        <f>VLOOKUP(B26, Productos!A:E, 4, FALSE)</f>
        <v>4</v>
      </c>
      <c r="J26" s="14">
        <f>VLOOKUP(B26, Productos!A:E, 5, FALSE)</f>
        <v>20</v>
      </c>
      <c r="K26" s="4"/>
      <c r="L26" s="4"/>
      <c r="M26" s="4"/>
    </row>
    <row r="27" ht="22.5" customHeight="1">
      <c r="A27" s="5">
        <v>45755.0</v>
      </c>
      <c r="B27" s="6" t="s">
        <v>46</v>
      </c>
      <c r="C27" s="1" t="s">
        <v>37</v>
      </c>
      <c r="D27" s="7" t="s">
        <v>44</v>
      </c>
      <c r="E27" s="8">
        <v>10.0</v>
      </c>
      <c r="F27" s="9">
        <v>720.0</v>
      </c>
      <c r="G27" s="1" t="s">
        <v>15</v>
      </c>
      <c r="H27" s="12">
        <f>Registro_Ventas[Cantidad] * Registro_Ventas[Precio_Venta]</f>
        <v>7200</v>
      </c>
      <c r="I27" s="14">
        <f>VLOOKUP(B27, Productos!A:E, 4, FALSE)</f>
        <v>7</v>
      </c>
      <c r="J27" s="14">
        <f>VLOOKUP(B27, Productos!A:E, 5, FALSE)</f>
        <v>15</v>
      </c>
      <c r="K27" s="4"/>
      <c r="L27" s="4"/>
      <c r="M27" s="4"/>
    </row>
    <row r="28" ht="22.5" customHeight="1">
      <c r="A28" s="5">
        <v>45755.0</v>
      </c>
      <c r="B28" s="6" t="s">
        <v>50</v>
      </c>
      <c r="C28" s="1" t="s">
        <v>51</v>
      </c>
      <c r="D28" s="7" t="s">
        <v>52</v>
      </c>
      <c r="E28" s="8">
        <v>4.0</v>
      </c>
      <c r="F28" s="9">
        <v>980.0</v>
      </c>
      <c r="G28" s="1" t="s">
        <v>15</v>
      </c>
      <c r="H28" s="12">
        <f>Registro_Ventas[Cantidad] * Registro_Ventas[Precio_Venta]</f>
        <v>3920</v>
      </c>
      <c r="I28" s="14">
        <f>VLOOKUP(B28, Productos!A:E, 4, FALSE)</f>
        <v>9</v>
      </c>
      <c r="J28" s="14">
        <f>VLOOKUP(B28, Productos!A:E, 5, FALSE)</f>
        <v>8</v>
      </c>
      <c r="K28" s="4"/>
      <c r="L28" s="4"/>
      <c r="M28" s="4"/>
    </row>
    <row r="29" ht="22.5" customHeight="1">
      <c r="A29" s="5">
        <v>45757.0</v>
      </c>
      <c r="B29" s="6" t="s">
        <v>38</v>
      </c>
      <c r="C29" s="1" t="s">
        <v>39</v>
      </c>
      <c r="D29" s="7" t="s">
        <v>30</v>
      </c>
      <c r="E29" s="8">
        <v>3.0</v>
      </c>
      <c r="F29" s="9">
        <v>1800.0</v>
      </c>
      <c r="G29" s="1" t="s">
        <v>15</v>
      </c>
      <c r="H29" s="12">
        <f>Registro_Ventas[Cantidad] * Registro_Ventas[Precio_Venta]</f>
        <v>5400</v>
      </c>
      <c r="I29" s="14">
        <f>VLOOKUP(B29, Productos!A:E, 4, FALSE)</f>
        <v>6</v>
      </c>
      <c r="J29" s="14">
        <f>VLOOKUP(B29, Productos!A:E, 5, FALSE)</f>
        <v>8</v>
      </c>
      <c r="K29" s="4"/>
      <c r="L29" s="4"/>
      <c r="M29" s="4"/>
    </row>
    <row r="30" ht="22.5" customHeight="1">
      <c r="A30" s="5">
        <v>45757.0</v>
      </c>
      <c r="B30" s="6" t="s">
        <v>59</v>
      </c>
      <c r="C30" s="1" t="s">
        <v>45</v>
      </c>
      <c r="D30" s="7" t="s">
        <v>52</v>
      </c>
      <c r="E30" s="8">
        <v>7.0</v>
      </c>
      <c r="F30" s="9">
        <v>1350.0</v>
      </c>
      <c r="G30" s="1" t="s">
        <v>15</v>
      </c>
      <c r="H30" s="12">
        <f>Registro_Ventas[Cantidad] * Registro_Ventas[Precio_Venta]</f>
        <v>9450</v>
      </c>
      <c r="I30" s="14">
        <f>VLOOKUP(B30, Productos!A:E, 4, FALSE)</f>
        <v>3</v>
      </c>
      <c r="J30" s="14">
        <f>VLOOKUP(B30, Productos!A:E, 5, FALSE)</f>
        <v>6</v>
      </c>
      <c r="K30" s="4"/>
      <c r="L30" s="4"/>
      <c r="M30" s="4"/>
    </row>
    <row r="31" ht="22.5" customHeight="1">
      <c r="A31" s="5">
        <v>45759.0</v>
      </c>
      <c r="B31" s="6" t="s">
        <v>28</v>
      </c>
      <c r="C31" s="1" t="s">
        <v>29</v>
      </c>
      <c r="D31" s="7" t="s">
        <v>30</v>
      </c>
      <c r="E31" s="8">
        <v>6.0</v>
      </c>
      <c r="F31" s="9">
        <v>1200.0</v>
      </c>
      <c r="G31" s="1" t="s">
        <v>15</v>
      </c>
      <c r="H31" s="12">
        <f>Registro_Ventas[Cantidad] * Registro_Ventas[Precio_Venta]</f>
        <v>7200</v>
      </c>
      <c r="I31" s="14">
        <f>VLOOKUP(B31, Productos!A:E, 4, FALSE)</f>
        <v>8</v>
      </c>
      <c r="J31" s="14">
        <f>VLOOKUP(B31, Productos!A:E, 5, FALSE)</f>
        <v>10</v>
      </c>
      <c r="K31" s="4"/>
      <c r="L31" s="4"/>
      <c r="M31" s="4"/>
    </row>
    <row r="32" ht="22.5" customHeight="1">
      <c r="A32" s="5">
        <v>45759.0</v>
      </c>
      <c r="B32" s="6" t="s">
        <v>60</v>
      </c>
      <c r="C32" s="1" t="s">
        <v>61</v>
      </c>
      <c r="D32" s="7" t="s">
        <v>30</v>
      </c>
      <c r="E32" s="8">
        <v>9.0</v>
      </c>
      <c r="F32" s="9">
        <v>890.0</v>
      </c>
      <c r="G32" s="1" t="s">
        <v>15</v>
      </c>
      <c r="H32" s="12">
        <f>Registro_Ventas[Cantidad] * Registro_Ventas[Precio_Venta]</f>
        <v>8010</v>
      </c>
      <c r="I32" s="14">
        <f>VLOOKUP(B32, Productos!A:E, 4, FALSE)</f>
        <v>16</v>
      </c>
      <c r="J32" s="14">
        <f>VLOOKUP(B32, Productos!A:E, 5, FALSE)</f>
        <v>10</v>
      </c>
      <c r="K32" s="4"/>
      <c r="L32" s="4"/>
      <c r="M32" s="4"/>
    </row>
    <row r="33" ht="22.5" customHeight="1">
      <c r="A33" s="5">
        <v>45759.0</v>
      </c>
      <c r="B33" s="6" t="s">
        <v>47</v>
      </c>
      <c r="C33" s="1" t="s">
        <v>48</v>
      </c>
      <c r="D33" s="7" t="s">
        <v>30</v>
      </c>
      <c r="E33" s="8">
        <v>4.0</v>
      </c>
      <c r="F33" s="9">
        <v>1050.0</v>
      </c>
      <c r="G33" s="1" t="s">
        <v>15</v>
      </c>
      <c r="H33" s="12">
        <f>Registro_Ventas[Cantidad] * Registro_Ventas[Precio_Venta]</f>
        <v>4200</v>
      </c>
      <c r="I33" s="14">
        <f>VLOOKUP(B33, Productos!A:E, 4, FALSE)</f>
        <v>12</v>
      </c>
      <c r="J33" s="14">
        <f>VLOOKUP(B33, Productos!A:E, 5, FALSE)</f>
        <v>8</v>
      </c>
      <c r="K33" s="4"/>
      <c r="L33" s="4"/>
      <c r="M33" s="4"/>
    </row>
    <row r="34" ht="22.5" customHeight="1">
      <c r="A34" s="5">
        <v>45761.0</v>
      </c>
      <c r="B34" s="6" t="s">
        <v>26</v>
      </c>
      <c r="C34" s="1" t="s">
        <v>27</v>
      </c>
      <c r="D34" s="7" t="s">
        <v>13</v>
      </c>
      <c r="E34" s="8">
        <v>15.0</v>
      </c>
      <c r="F34" s="9">
        <v>320.0</v>
      </c>
      <c r="G34" s="1" t="s">
        <v>15</v>
      </c>
      <c r="H34" s="12">
        <f>Registro_Ventas[Cantidad] * Registro_Ventas[Precio_Venta]</f>
        <v>4800</v>
      </c>
      <c r="I34" s="14">
        <f>VLOOKUP(B34, Productos!A:E, 4, FALSE)</f>
        <v>35</v>
      </c>
      <c r="J34" s="14">
        <f>VLOOKUP(B34, Productos!A:E, 5, FALSE)</f>
        <v>15</v>
      </c>
      <c r="K34" s="4"/>
      <c r="L34" s="4"/>
      <c r="M34" s="4"/>
    </row>
    <row r="35" ht="22.5" customHeight="1">
      <c r="A35" s="5">
        <v>45761.0</v>
      </c>
      <c r="B35" s="6" t="s">
        <v>56</v>
      </c>
      <c r="C35" s="1" t="s">
        <v>57</v>
      </c>
      <c r="D35" s="7" t="s">
        <v>52</v>
      </c>
      <c r="E35" s="8">
        <v>5.0</v>
      </c>
      <c r="F35" s="9">
        <v>1100.0</v>
      </c>
      <c r="G35" s="1" t="s">
        <v>15</v>
      </c>
      <c r="H35" s="12">
        <f>Registro_Ventas[Cantidad] * Registro_Ventas[Precio_Venta]</f>
        <v>5500</v>
      </c>
      <c r="I35" s="14">
        <f>VLOOKUP(B35, Productos!A:E, 4, FALSE)</f>
        <v>11</v>
      </c>
      <c r="J35" s="14">
        <f>VLOOKUP(B35, Productos!A:E, 5, FALSE)</f>
        <v>8</v>
      </c>
      <c r="K35" s="4"/>
      <c r="L35" s="4"/>
      <c r="M35" s="4"/>
    </row>
    <row r="36" ht="22.5" customHeight="1">
      <c r="A36" s="5">
        <v>45763.0</v>
      </c>
      <c r="B36" s="6" t="s">
        <v>40</v>
      </c>
      <c r="C36" s="1" t="s">
        <v>32</v>
      </c>
      <c r="D36" s="7" t="s">
        <v>41</v>
      </c>
      <c r="E36" s="8">
        <v>8.0</v>
      </c>
      <c r="F36" s="9">
        <v>650.0</v>
      </c>
      <c r="G36" s="1" t="s">
        <v>15</v>
      </c>
      <c r="H36" s="12">
        <f>Registro_Ventas[Cantidad] * Registro_Ventas[Precio_Venta]</f>
        <v>5200</v>
      </c>
      <c r="I36" s="14">
        <f>VLOOKUP(B36, Productos!A:E, 4, FALSE)</f>
        <v>3</v>
      </c>
      <c r="J36" s="14">
        <f>VLOOKUP(B36, Productos!A:E, 5, FALSE)</f>
        <v>12</v>
      </c>
      <c r="K36" s="4"/>
      <c r="L36" s="4"/>
      <c r="M36" s="4"/>
    </row>
    <row r="37" ht="22.5" customHeight="1">
      <c r="A37" s="5">
        <v>45763.0</v>
      </c>
      <c r="B37" s="6" t="s">
        <v>53</v>
      </c>
      <c r="C37" s="1" t="s">
        <v>54</v>
      </c>
      <c r="D37" s="7" t="s">
        <v>30</v>
      </c>
      <c r="E37" s="8">
        <v>6.0</v>
      </c>
      <c r="F37" s="9">
        <v>780.0</v>
      </c>
      <c r="G37" s="1" t="s">
        <v>15</v>
      </c>
      <c r="H37" s="12">
        <f>Registro_Ventas[Cantidad] * Registro_Ventas[Precio_Venta]</f>
        <v>4680</v>
      </c>
      <c r="I37" s="14">
        <f>VLOOKUP(B37, Productos!A:E, 4, FALSE)</f>
        <v>5</v>
      </c>
      <c r="J37" s="14">
        <f>VLOOKUP(B37, Productos!A:E, 5, FALSE)</f>
        <v>8</v>
      </c>
      <c r="K37" s="4"/>
      <c r="L37" s="4"/>
      <c r="M37" s="4"/>
    </row>
    <row r="38" ht="22.5" customHeight="1">
      <c r="A38" s="5">
        <v>45765.0</v>
      </c>
      <c r="B38" s="6" t="s">
        <v>46</v>
      </c>
      <c r="C38" s="1" t="s">
        <v>37</v>
      </c>
      <c r="D38" s="7" t="s">
        <v>44</v>
      </c>
      <c r="E38" s="8">
        <v>12.0</v>
      </c>
      <c r="F38" s="9">
        <v>720.0</v>
      </c>
      <c r="G38" s="1" t="s">
        <v>15</v>
      </c>
      <c r="H38" s="12">
        <f>Registro_Ventas[Cantidad] * Registro_Ventas[Precio_Venta]</f>
        <v>8640</v>
      </c>
      <c r="I38" s="14">
        <f>VLOOKUP(B38, Productos!A:E, 4, FALSE)</f>
        <v>7</v>
      </c>
      <c r="J38" s="14">
        <f>VLOOKUP(B38, Productos!A:E, 5, FALSE)</f>
        <v>15</v>
      </c>
      <c r="K38" s="4"/>
      <c r="L38" s="4"/>
      <c r="M38" s="4"/>
    </row>
    <row r="39" ht="22.5" customHeight="1">
      <c r="A39" s="5">
        <v>45765.0</v>
      </c>
      <c r="B39" s="6" t="s">
        <v>58</v>
      </c>
      <c r="C39" s="1" t="s">
        <v>49</v>
      </c>
      <c r="D39" s="7" t="s">
        <v>52</v>
      </c>
      <c r="E39" s="8">
        <v>10.0</v>
      </c>
      <c r="F39" s="9">
        <v>550.0</v>
      </c>
      <c r="G39" s="1" t="s">
        <v>15</v>
      </c>
      <c r="H39" s="12">
        <f>Registro_Ventas[Cantidad] * Registro_Ventas[Precio_Venta]</f>
        <v>5500</v>
      </c>
      <c r="I39" s="14">
        <f>VLOOKUP(B39, Productos!A:E, 4, FALSE)</f>
        <v>4</v>
      </c>
      <c r="J39" s="14">
        <f>VLOOKUP(B39, Productos!A:E, 5, FALSE)</f>
        <v>10</v>
      </c>
      <c r="K39" s="4"/>
      <c r="L39" s="4"/>
      <c r="M39" s="4"/>
    </row>
    <row r="40" ht="22.5" customHeight="1">
      <c r="A40" s="5">
        <v>45767.0</v>
      </c>
      <c r="B40" s="6" t="s">
        <v>10</v>
      </c>
      <c r="C40" s="1" t="s">
        <v>11</v>
      </c>
      <c r="D40" s="7" t="s">
        <v>13</v>
      </c>
      <c r="E40" s="8">
        <v>7.0</v>
      </c>
      <c r="F40" s="9">
        <v>850.0</v>
      </c>
      <c r="G40" s="1" t="s">
        <v>15</v>
      </c>
      <c r="H40" s="12">
        <f>Registro_Ventas[Cantidad] * Registro_Ventas[Precio_Venta]</f>
        <v>5950</v>
      </c>
      <c r="I40" s="14">
        <f>VLOOKUP(B40, Productos!A:E, 4, FALSE)</f>
        <v>4</v>
      </c>
      <c r="J40" s="14">
        <f>VLOOKUP(B40, Productos!A:E, 5, FALSE)</f>
        <v>20</v>
      </c>
      <c r="K40" s="4"/>
      <c r="L40" s="4"/>
      <c r="M40" s="4"/>
    </row>
    <row r="41" ht="22.5" customHeight="1">
      <c r="A41" s="5">
        <v>45767.0</v>
      </c>
      <c r="B41" s="6" t="s">
        <v>62</v>
      </c>
      <c r="C41" s="1" t="s">
        <v>63</v>
      </c>
      <c r="D41" s="7" t="s">
        <v>44</v>
      </c>
      <c r="E41" s="8">
        <v>5.0</v>
      </c>
      <c r="F41" s="9">
        <v>1400.0</v>
      </c>
      <c r="G41" s="1" t="s">
        <v>15</v>
      </c>
      <c r="H41" s="12">
        <f>Registro_Ventas[Cantidad] * Registro_Ventas[Precio_Venta]</f>
        <v>7000</v>
      </c>
      <c r="I41" s="14">
        <f>VLOOKUP(B41, Productos!A:E, 4, FALSE)</f>
        <v>19</v>
      </c>
      <c r="J41" s="14">
        <f>VLOOKUP(B41, Productos!A:E, 5, FALSE)</f>
        <v>10</v>
      </c>
      <c r="K41" s="4"/>
      <c r="L41" s="4"/>
      <c r="M41" s="4"/>
    </row>
    <row r="42">
      <c r="C42" s="38"/>
      <c r="D42" s="38"/>
      <c r="E42" s="38"/>
      <c r="F42" s="38"/>
      <c r="G42" s="38"/>
      <c r="H42" s="38"/>
      <c r="I42" s="39"/>
      <c r="J42" s="39"/>
      <c r="K42" s="4"/>
      <c r="L42" s="4"/>
      <c r="M42" s="4"/>
    </row>
  </sheetData>
  <dataValidations>
    <dataValidation type="list" allowBlank="1" sqref="B2:B41">
      <formula1>"P001,P002,P003,P004,P005,P006,P007,P013,P011,P014,P012,P008,P009,P010,P015"</formula1>
    </dataValidation>
    <dataValidation type="custom" allowBlank="1" showDropDown="1" sqref="A2:A41">
      <formula1>OR(NOT(ISERROR(DATEVALUE(A2))), AND(ISNUMBER(A2), LEFT(CELL("format", A2))="D"))</formula1>
    </dataValidation>
    <dataValidation type="list" allowBlank="1" showDropDown="1" showErrorMessage="1" sqref="D2:D41">
      <formula1>"Bebidas,Almacén,Snacks,Lácteos,Limpieza"</formula1>
    </dataValidation>
    <dataValidation type="custom" allowBlank="1" showDropDown="1" sqref="E2:F41 H2:H4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13"/>
    <col customWidth="1" min="2" max="2" width="22.88"/>
    <col customWidth="1" min="3" max="3" width="19.63"/>
    <col customWidth="1" min="4" max="4" width="31.88"/>
    <col customWidth="1" min="5" max="5" width="19.25"/>
    <col customWidth="1" min="6" max="6" width="16.0"/>
    <col customWidth="1" min="7" max="7" width="22.75"/>
    <col customWidth="1" min="8" max="8" width="21.0"/>
    <col customWidth="1" min="9" max="9" width="10.63"/>
    <col customWidth="1" min="10" max="10" width="31.25"/>
    <col customWidth="1" min="11" max="11" width="22.13"/>
    <col customWidth="1" min="12" max="12" width="12.75"/>
    <col customWidth="1" min="13" max="13" width="18.38"/>
    <col customWidth="1" min="14" max="14" width="24.13"/>
    <col customWidth="1" min="15" max="15" width="26.75"/>
    <col customWidth="1" min="17" max="17" width="21.63"/>
    <col customWidth="1" min="20" max="20" width="21.63"/>
    <col customWidth="1" min="21" max="21" width="22.13"/>
  </cols>
  <sheetData>
    <row r="1" ht="22.5" customHeight="1">
      <c r="A1" s="1" t="s">
        <v>1</v>
      </c>
      <c r="B1" s="1" t="s">
        <v>2</v>
      </c>
      <c r="C1" s="1" t="s">
        <v>12</v>
      </c>
      <c r="D1" s="1" t="s">
        <v>8</v>
      </c>
      <c r="E1" s="1" t="s">
        <v>9</v>
      </c>
      <c r="F1" s="2" t="s">
        <v>14</v>
      </c>
      <c r="G1" s="10" t="s">
        <v>16</v>
      </c>
      <c r="H1" s="10" t="s">
        <v>17</v>
      </c>
      <c r="I1" s="2" t="s">
        <v>18</v>
      </c>
      <c r="J1" s="2" t="s">
        <v>19</v>
      </c>
      <c r="K1" s="2" t="s">
        <v>20</v>
      </c>
      <c r="L1" s="2" t="s">
        <v>3</v>
      </c>
      <c r="M1" s="2" t="s">
        <v>21</v>
      </c>
      <c r="N1" s="2" t="s">
        <v>22</v>
      </c>
      <c r="O1" s="2" t="s">
        <v>23</v>
      </c>
      <c r="P1" s="4"/>
      <c r="Q1" s="11" t="s">
        <v>24</v>
      </c>
      <c r="R1" s="11" t="s">
        <v>25</v>
      </c>
      <c r="S1" s="4"/>
      <c r="T1" s="11" t="s">
        <v>24</v>
      </c>
      <c r="U1" s="13" t="s">
        <v>23</v>
      </c>
      <c r="V1" s="4"/>
      <c r="W1" s="4"/>
      <c r="X1" s="4"/>
      <c r="Y1" s="4"/>
      <c r="Z1" s="4"/>
    </row>
    <row r="2" ht="22.5" customHeight="1">
      <c r="A2" s="1" t="s">
        <v>10</v>
      </c>
      <c r="B2" s="1" t="s">
        <v>11</v>
      </c>
      <c r="C2" s="9">
        <v>580.0</v>
      </c>
      <c r="D2" s="8">
        <v>4.0</v>
      </c>
      <c r="E2" s="8">
        <v>20.0</v>
      </c>
      <c r="F2" s="15">
        <f>SUMIF(Ventas!B:B,A2, Ventas!E:E)</f>
        <v>34</v>
      </c>
      <c r="G2" s="10">
        <f>F2/(MAX(Ventas!A:A)-MIN(Ventas!A:A)+1)</f>
        <v>0.6666666667</v>
      </c>
      <c r="H2" s="16">
        <f t="shared" ref="H2:H16" si="1">IF(G2=0, "N/A", D2/G2)</f>
        <v>6</v>
      </c>
      <c r="I2" s="15" t="str">
        <f t="shared" ref="I2:I16" si="2">IF(G2=0,"Sin rotación", IF(H2&lt;=7,"URGENTE", IF(H2&lt;=14,"Atención","OK")))</f>
        <v>URGENTE</v>
      </c>
      <c r="J2" s="15">
        <f t="shared" ref="J2:J16" si="3">MAX(0,E2-D2)</f>
        <v>16</v>
      </c>
      <c r="K2" s="12">
        <f t="shared" ref="K2:K16" si="4">J2*C2</f>
        <v>9280</v>
      </c>
      <c r="L2" s="15" t="str">
        <f>VLOOKUP(A2, Ventas!B:D, 3, 0)</f>
        <v>Bebidas</v>
      </c>
      <c r="M2" s="12">
        <f>SUMIF(Ventas!B:B, A2, Ventas!H:H)</f>
        <v>28900</v>
      </c>
      <c r="N2" s="12">
        <f>M2/(MAX(Ventas!A:A)-MIN(Ventas!A:A)+1)</f>
        <v>566.6666667</v>
      </c>
      <c r="O2" s="12">
        <f t="shared" ref="O2:O16" si="5">N2*7</f>
        <v>3966.666667</v>
      </c>
      <c r="P2" s="4"/>
      <c r="Q2" s="18" t="s">
        <v>32</v>
      </c>
      <c r="R2" s="20">
        <v>4.935483870967742</v>
      </c>
      <c r="S2" s="4"/>
      <c r="T2" s="18" t="s">
        <v>37</v>
      </c>
      <c r="U2" s="21">
        <v>4644.7058823529405</v>
      </c>
      <c r="V2" s="4"/>
      <c r="W2" s="4"/>
      <c r="X2" s="4"/>
      <c r="Y2" s="4"/>
      <c r="Z2" s="4"/>
    </row>
    <row r="3" ht="22.5" customHeight="1">
      <c r="A3" s="1" t="s">
        <v>26</v>
      </c>
      <c r="B3" s="1" t="s">
        <v>27</v>
      </c>
      <c r="C3" s="9">
        <v>190.0</v>
      </c>
      <c r="D3" s="8">
        <v>35.0</v>
      </c>
      <c r="E3" s="8">
        <v>15.0</v>
      </c>
      <c r="F3" s="15">
        <f>SUMIF(Ventas!B:B,A3, Ventas!E:E)</f>
        <v>47</v>
      </c>
      <c r="G3" s="10">
        <f>F3/(MAX(Ventas!A:A)-MIN(Ventas!A:A)+1)</f>
        <v>0.9215686275</v>
      </c>
      <c r="H3" s="16">
        <f t="shared" si="1"/>
        <v>37.9787234</v>
      </c>
      <c r="I3" s="15" t="str">
        <f t="shared" si="2"/>
        <v>OK</v>
      </c>
      <c r="J3" s="15">
        <f t="shared" si="3"/>
        <v>0</v>
      </c>
      <c r="K3" s="12">
        <f t="shared" si="4"/>
        <v>0</v>
      </c>
      <c r="L3" s="15" t="str">
        <f>VLOOKUP(A3, Ventas!B:D, 3, 0)</f>
        <v>Bebidas</v>
      </c>
      <c r="M3" s="12">
        <f>SUMIF(Ventas!B:B, A3, Ventas!H:H)</f>
        <v>15040</v>
      </c>
      <c r="N3" s="12">
        <f>M3/(MAX(Ventas!A:A)-MIN(Ventas!A:A)+1)</f>
        <v>294.9019608</v>
      </c>
      <c r="O3" s="12">
        <f t="shared" si="5"/>
        <v>2064.313725</v>
      </c>
      <c r="P3" s="4"/>
      <c r="Q3" s="18" t="s">
        <v>11</v>
      </c>
      <c r="R3" s="20">
        <v>6.0</v>
      </c>
      <c r="S3" s="4"/>
      <c r="T3" s="18" t="s">
        <v>11</v>
      </c>
      <c r="U3" s="21">
        <v>3966.6666666666665</v>
      </c>
      <c r="V3" s="4"/>
      <c r="W3" s="4"/>
      <c r="X3" s="4"/>
      <c r="Y3" s="4"/>
      <c r="Z3" s="4"/>
    </row>
    <row r="4" ht="22.5" customHeight="1">
      <c r="A4" s="1" t="s">
        <v>28</v>
      </c>
      <c r="B4" s="1" t="s">
        <v>29</v>
      </c>
      <c r="C4" s="9">
        <v>780.0</v>
      </c>
      <c r="D4" s="8">
        <v>8.0</v>
      </c>
      <c r="E4" s="8">
        <v>10.0</v>
      </c>
      <c r="F4" s="15">
        <f>SUMIF(Ventas!B:B,A4, Ventas!E:E)</f>
        <v>18</v>
      </c>
      <c r="G4" s="10">
        <f>F4/(MAX(Ventas!A:A)-MIN(Ventas!A:A)+1)</f>
        <v>0.3529411765</v>
      </c>
      <c r="H4" s="16">
        <f t="shared" si="1"/>
        <v>22.66666667</v>
      </c>
      <c r="I4" s="15" t="str">
        <f t="shared" si="2"/>
        <v>OK</v>
      </c>
      <c r="J4" s="15">
        <f t="shared" si="3"/>
        <v>2</v>
      </c>
      <c r="K4" s="12">
        <f t="shared" si="4"/>
        <v>1560</v>
      </c>
      <c r="L4" s="15" t="str">
        <f>VLOOKUP(A4, Ventas!B:D, 3, 0)</f>
        <v>Almacén</v>
      </c>
      <c r="M4" s="12">
        <f>SUMIF(Ventas!B:B, A4, Ventas!H:H)</f>
        <v>21600</v>
      </c>
      <c r="N4" s="12">
        <f>M4/(MAX(Ventas!A:A)-MIN(Ventas!A:A)+1)</f>
        <v>423.5294118</v>
      </c>
      <c r="O4" s="12">
        <f t="shared" si="5"/>
        <v>2964.705882</v>
      </c>
      <c r="P4" s="4"/>
      <c r="Q4" s="18" t="s">
        <v>37</v>
      </c>
      <c r="R4" s="20">
        <v>7.595744680851064</v>
      </c>
      <c r="S4" s="4"/>
      <c r="T4" s="18" t="s">
        <v>45</v>
      </c>
      <c r="U4" s="21">
        <v>2779.4117647058824</v>
      </c>
      <c r="V4" s="4"/>
      <c r="W4" s="4"/>
      <c r="X4" s="4"/>
      <c r="Y4" s="4"/>
      <c r="Z4" s="4"/>
    </row>
    <row r="5" ht="22.5" customHeight="1">
      <c r="A5" s="1" t="s">
        <v>38</v>
      </c>
      <c r="B5" s="1" t="s">
        <v>39</v>
      </c>
      <c r="C5" s="9">
        <v>1200.0</v>
      </c>
      <c r="D5" s="8">
        <v>6.0</v>
      </c>
      <c r="E5" s="8">
        <v>8.0</v>
      </c>
      <c r="F5" s="15">
        <f>SUMIF(Ventas!B:B,A5, Ventas!E:E)</f>
        <v>9</v>
      </c>
      <c r="G5" s="10">
        <f>F5/(MAX(Ventas!A:A)-MIN(Ventas!A:A)+1)</f>
        <v>0.1764705882</v>
      </c>
      <c r="H5" s="16">
        <f t="shared" si="1"/>
        <v>34</v>
      </c>
      <c r="I5" s="15" t="str">
        <f t="shared" si="2"/>
        <v>OK</v>
      </c>
      <c r="J5" s="15">
        <f t="shared" si="3"/>
        <v>2</v>
      </c>
      <c r="K5" s="12">
        <f t="shared" si="4"/>
        <v>2400</v>
      </c>
      <c r="L5" s="15" t="str">
        <f>VLOOKUP(A5, Ventas!B:D, 3, 0)</f>
        <v>Almacén</v>
      </c>
      <c r="M5" s="12">
        <f>SUMIF(Ventas!B:B, A5, Ventas!H:H)</f>
        <v>16200</v>
      </c>
      <c r="N5" s="12">
        <f>M5/(MAX(Ventas!A:A)-MIN(Ventas!A:A)+1)</f>
        <v>317.6470588</v>
      </c>
      <c r="O5" s="12">
        <f t="shared" si="5"/>
        <v>2223.529412</v>
      </c>
      <c r="P5" s="4"/>
      <c r="Q5" s="18" t="s">
        <v>45</v>
      </c>
      <c r="R5" s="20">
        <v>10.2</v>
      </c>
      <c r="S5" s="4"/>
      <c r="T5" s="18" t="s">
        <v>32</v>
      </c>
      <c r="U5" s="21">
        <v>2765.686274509804</v>
      </c>
      <c r="V5" s="4"/>
      <c r="W5" s="4"/>
      <c r="X5" s="4"/>
      <c r="Y5" s="4"/>
      <c r="Z5" s="4"/>
    </row>
    <row r="6" ht="22.5" customHeight="1">
      <c r="A6" s="1" t="s">
        <v>40</v>
      </c>
      <c r="B6" s="1" t="s">
        <v>32</v>
      </c>
      <c r="C6" s="9">
        <v>400.0</v>
      </c>
      <c r="D6" s="8">
        <v>3.0</v>
      </c>
      <c r="E6" s="8">
        <v>12.0</v>
      </c>
      <c r="F6" s="15">
        <f>SUMIF(Ventas!B:B,A6, Ventas!E:E)</f>
        <v>31</v>
      </c>
      <c r="G6" s="10">
        <f>F6/(MAX(Ventas!A:A)-MIN(Ventas!A:A)+1)</f>
        <v>0.6078431373</v>
      </c>
      <c r="H6" s="16">
        <f t="shared" si="1"/>
        <v>4.935483871</v>
      </c>
      <c r="I6" s="15" t="str">
        <f t="shared" si="2"/>
        <v>URGENTE</v>
      </c>
      <c r="J6" s="15">
        <f t="shared" si="3"/>
        <v>9</v>
      </c>
      <c r="K6" s="12">
        <f t="shared" si="4"/>
        <v>3600</v>
      </c>
      <c r="L6" s="15" t="str">
        <f>VLOOKUP(A6, Ventas!B:D, 3, 0)</f>
        <v>Snacks</v>
      </c>
      <c r="M6" s="12">
        <f>SUMIF(Ventas!B:B, A6, Ventas!H:H)</f>
        <v>20150</v>
      </c>
      <c r="N6" s="12">
        <f>M6/(MAX(Ventas!A:A)-MIN(Ventas!A:A)+1)</f>
        <v>395.0980392</v>
      </c>
      <c r="O6" s="12">
        <f t="shared" si="5"/>
        <v>2765.686275</v>
      </c>
      <c r="P6" s="4"/>
      <c r="Q6" s="18" t="s">
        <v>49</v>
      </c>
      <c r="R6" s="20">
        <v>11.333333333333332</v>
      </c>
      <c r="S6" s="4"/>
      <c r="T6" s="18" t="s">
        <v>49</v>
      </c>
      <c r="U6" s="21">
        <v>1358.8235294117649</v>
      </c>
      <c r="V6" s="4"/>
      <c r="W6" s="4"/>
      <c r="X6" s="4"/>
      <c r="Y6" s="4"/>
      <c r="Z6" s="4"/>
    </row>
    <row r="7" ht="22.5" customHeight="1">
      <c r="A7" s="1" t="s">
        <v>42</v>
      </c>
      <c r="B7" s="1" t="s">
        <v>43</v>
      </c>
      <c r="C7" s="9">
        <v>290.0</v>
      </c>
      <c r="D7" s="8">
        <v>14.0</v>
      </c>
      <c r="E7" s="8">
        <v>10.0</v>
      </c>
      <c r="F7" s="15">
        <f>SUMIF(Ventas!B:B,A7, Ventas!E:E)</f>
        <v>21</v>
      </c>
      <c r="G7" s="10">
        <f>F7/(MAX(Ventas!A:A)-MIN(Ventas!A:A)+1)</f>
        <v>0.4117647059</v>
      </c>
      <c r="H7" s="16">
        <f t="shared" si="1"/>
        <v>34</v>
      </c>
      <c r="I7" s="15" t="str">
        <f t="shared" si="2"/>
        <v>OK</v>
      </c>
      <c r="J7" s="15">
        <f t="shared" si="3"/>
        <v>0</v>
      </c>
      <c r="K7" s="12">
        <f t="shared" si="4"/>
        <v>0</v>
      </c>
      <c r="L7" s="15" t="str">
        <f>VLOOKUP(A7, Ventas!B:D, 3, 0)</f>
        <v>Lácteos</v>
      </c>
      <c r="M7" s="12">
        <f>SUMIF(Ventas!B:B, A7, Ventas!H:H)</f>
        <v>10080</v>
      </c>
      <c r="N7" s="12">
        <f>M7/(MAX(Ventas!A:A)-MIN(Ventas!A:A)+1)</f>
        <v>197.6470588</v>
      </c>
      <c r="O7" s="12">
        <f t="shared" si="5"/>
        <v>1383.529412</v>
      </c>
      <c r="P7" s="4"/>
      <c r="Q7" s="18" t="s">
        <v>29</v>
      </c>
      <c r="R7" s="20">
        <v>22.666666666666664</v>
      </c>
      <c r="S7" s="4"/>
      <c r="T7" s="25"/>
      <c r="U7" s="26"/>
      <c r="V7" s="4"/>
      <c r="W7" s="4"/>
      <c r="X7" s="4"/>
      <c r="Y7" s="4"/>
      <c r="Z7" s="4"/>
    </row>
    <row r="8" ht="22.5" customHeight="1">
      <c r="A8" s="1" t="s">
        <v>46</v>
      </c>
      <c r="B8" s="1" t="s">
        <v>37</v>
      </c>
      <c r="C8" s="9">
        <v>480.0</v>
      </c>
      <c r="D8" s="8">
        <v>7.0</v>
      </c>
      <c r="E8" s="8">
        <v>15.0</v>
      </c>
      <c r="F8" s="15">
        <f>SUMIF(Ventas!B:B,A8, Ventas!E:E)</f>
        <v>47</v>
      </c>
      <c r="G8" s="10">
        <f>F8/(MAX(Ventas!A:A)-MIN(Ventas!A:A)+1)</f>
        <v>0.9215686275</v>
      </c>
      <c r="H8" s="16">
        <f t="shared" si="1"/>
        <v>7.595744681</v>
      </c>
      <c r="I8" s="15" t="str">
        <f t="shared" si="2"/>
        <v>Atención</v>
      </c>
      <c r="J8" s="15">
        <f t="shared" si="3"/>
        <v>8</v>
      </c>
      <c r="K8" s="12">
        <f t="shared" si="4"/>
        <v>3840</v>
      </c>
      <c r="L8" s="15" t="str">
        <f>VLOOKUP(A8, Ventas!B:D, 3, 0)</f>
        <v>Lácteos</v>
      </c>
      <c r="M8" s="12">
        <f>SUMIF(Ventas!B:B, A8, Ventas!H:H)</f>
        <v>33840</v>
      </c>
      <c r="N8" s="12">
        <f>M8/(MAX(Ventas!A:A)-MIN(Ventas!A:A)+1)</f>
        <v>663.5294118</v>
      </c>
      <c r="O8" s="12">
        <f t="shared" si="5"/>
        <v>4644.705882</v>
      </c>
      <c r="P8" s="4"/>
      <c r="Q8" s="18" t="s">
        <v>54</v>
      </c>
      <c r="R8" s="20">
        <v>23.18181818181818</v>
      </c>
      <c r="S8" s="4"/>
      <c r="T8" s="25" t="s">
        <v>55</v>
      </c>
      <c r="U8" s="26"/>
      <c r="V8" s="4"/>
      <c r="W8" s="4"/>
      <c r="X8" s="4"/>
      <c r="Y8" s="4"/>
      <c r="Z8" s="4"/>
    </row>
    <row r="9" ht="22.5" customHeight="1">
      <c r="A9" s="1" t="s">
        <v>56</v>
      </c>
      <c r="B9" s="1" t="s">
        <v>57</v>
      </c>
      <c r="C9" s="9">
        <v>700.0</v>
      </c>
      <c r="D9" s="8">
        <v>11.0</v>
      </c>
      <c r="E9" s="8">
        <v>8.0</v>
      </c>
      <c r="F9" s="15">
        <f>SUMIF(Ventas!B:B,A9, Ventas!E:E)</f>
        <v>11</v>
      </c>
      <c r="G9" s="10">
        <f>F9/(MAX(Ventas!A:A)-MIN(Ventas!A:A)+1)</f>
        <v>0.2156862745</v>
      </c>
      <c r="H9" s="16">
        <f t="shared" si="1"/>
        <v>51</v>
      </c>
      <c r="I9" s="15" t="str">
        <f t="shared" si="2"/>
        <v>OK</v>
      </c>
      <c r="J9" s="15">
        <f t="shared" si="3"/>
        <v>0</v>
      </c>
      <c r="K9" s="12">
        <f t="shared" si="4"/>
        <v>0</v>
      </c>
      <c r="L9" s="15" t="str">
        <f>VLOOKUP(A9, Ventas!B:D, 3, 0)</f>
        <v>Limpieza</v>
      </c>
      <c r="M9" s="12">
        <f>SUMIF(Ventas!B:B, A9, Ventas!H:H)</f>
        <v>12100</v>
      </c>
      <c r="N9" s="12">
        <f>M9/(MAX(Ventas!A:A)-MIN(Ventas!A:A)+1)</f>
        <v>237.254902</v>
      </c>
      <c r="O9" s="12">
        <f t="shared" si="5"/>
        <v>1660.784314</v>
      </c>
      <c r="P9" s="4"/>
      <c r="Q9" s="18" t="s">
        <v>39</v>
      </c>
      <c r="R9" s="20">
        <v>34.0</v>
      </c>
      <c r="S9" s="4"/>
      <c r="T9" s="25"/>
      <c r="U9" s="26"/>
      <c r="V9" s="4"/>
      <c r="W9" s="4"/>
      <c r="X9" s="4"/>
      <c r="Y9" s="4"/>
      <c r="Z9" s="4"/>
    </row>
    <row r="10" ht="22.5" customHeight="1">
      <c r="A10" s="1" t="s">
        <v>58</v>
      </c>
      <c r="B10" s="1" t="s">
        <v>49</v>
      </c>
      <c r="C10" s="9">
        <v>320.0</v>
      </c>
      <c r="D10" s="8">
        <v>4.0</v>
      </c>
      <c r="E10" s="8">
        <v>10.0</v>
      </c>
      <c r="F10" s="15">
        <f>SUMIF(Ventas!B:B,A10, Ventas!E:E)</f>
        <v>18</v>
      </c>
      <c r="G10" s="10">
        <f>F10/(MAX(Ventas!A:A)-MIN(Ventas!A:A)+1)</f>
        <v>0.3529411765</v>
      </c>
      <c r="H10" s="16">
        <f t="shared" si="1"/>
        <v>11.33333333</v>
      </c>
      <c r="I10" s="15" t="str">
        <f t="shared" si="2"/>
        <v>Atención</v>
      </c>
      <c r="J10" s="15">
        <f t="shared" si="3"/>
        <v>6</v>
      </c>
      <c r="K10" s="12">
        <f t="shared" si="4"/>
        <v>1920</v>
      </c>
      <c r="L10" s="15" t="str">
        <f>VLOOKUP(A10, Ventas!B:D, 3, 0)</f>
        <v>Limpieza</v>
      </c>
      <c r="M10" s="12">
        <f>SUMIF(Ventas!B:B, A10, Ventas!H:H)</f>
        <v>9900</v>
      </c>
      <c r="N10" s="12">
        <f>M10/(MAX(Ventas!A:A)-MIN(Ventas!A:A)+1)</f>
        <v>194.1176471</v>
      </c>
      <c r="O10" s="12">
        <f t="shared" si="5"/>
        <v>1358.823529</v>
      </c>
      <c r="P10" s="4"/>
      <c r="Q10" s="18" t="s">
        <v>43</v>
      </c>
      <c r="R10" s="20">
        <v>34.0</v>
      </c>
      <c r="S10" s="4"/>
      <c r="T10" s="25"/>
      <c r="U10" s="26"/>
      <c r="V10" s="4"/>
      <c r="W10" s="4"/>
      <c r="X10" s="4"/>
      <c r="Y10" s="4"/>
      <c r="Z10" s="4"/>
    </row>
    <row r="11" ht="22.5" customHeight="1">
      <c r="A11" s="1" t="s">
        <v>60</v>
      </c>
      <c r="B11" s="1" t="s">
        <v>61</v>
      </c>
      <c r="C11" s="9">
        <v>560.0</v>
      </c>
      <c r="D11" s="8">
        <v>16.0</v>
      </c>
      <c r="E11" s="8">
        <v>10.0</v>
      </c>
      <c r="F11" s="15">
        <f>SUMIF(Ventas!B:B,A11, Ventas!E:E)</f>
        <v>16</v>
      </c>
      <c r="G11" s="10">
        <f>F11/(MAX(Ventas!A:A)-MIN(Ventas!A:A)+1)</f>
        <v>0.3137254902</v>
      </c>
      <c r="H11" s="16">
        <f t="shared" si="1"/>
        <v>51</v>
      </c>
      <c r="I11" s="15" t="str">
        <f t="shared" si="2"/>
        <v>OK</v>
      </c>
      <c r="J11" s="15">
        <f t="shared" si="3"/>
        <v>0</v>
      </c>
      <c r="K11" s="12">
        <f t="shared" si="4"/>
        <v>0</v>
      </c>
      <c r="L11" s="15" t="str">
        <f>VLOOKUP(A11, Ventas!B:D, 3, 0)</f>
        <v>Almacén</v>
      </c>
      <c r="M11" s="12">
        <f>SUMIF(Ventas!B:B, A11, Ventas!H:H)</f>
        <v>14240</v>
      </c>
      <c r="N11" s="12">
        <f>M11/(MAX(Ventas!A:A)-MIN(Ventas!A:A)+1)</f>
        <v>279.2156863</v>
      </c>
      <c r="O11" s="12">
        <f t="shared" si="5"/>
        <v>1954.509804</v>
      </c>
      <c r="P11" s="4"/>
      <c r="Q11" s="18" t="s">
        <v>27</v>
      </c>
      <c r="R11" s="20">
        <v>37.97872340425532</v>
      </c>
      <c r="S11" s="4"/>
      <c r="T11" s="25"/>
      <c r="U11" s="26"/>
      <c r="V11" s="4"/>
      <c r="W11" s="4"/>
      <c r="X11" s="4"/>
      <c r="Y11" s="4"/>
      <c r="Z11" s="4"/>
    </row>
    <row r="12" ht="22.5" customHeight="1">
      <c r="A12" s="1" t="s">
        <v>50</v>
      </c>
      <c r="B12" s="1" t="s">
        <v>51</v>
      </c>
      <c r="C12" s="9">
        <v>620.0</v>
      </c>
      <c r="D12" s="8">
        <v>9.0</v>
      </c>
      <c r="E12" s="8">
        <v>8.0</v>
      </c>
      <c r="F12" s="15">
        <f>SUMIF(Ventas!B:B,A12, Ventas!E:E)</f>
        <v>10</v>
      </c>
      <c r="G12" s="10">
        <f>F12/(MAX(Ventas!A:A)-MIN(Ventas!A:A)+1)</f>
        <v>0.1960784314</v>
      </c>
      <c r="H12" s="16">
        <f t="shared" si="1"/>
        <v>45.9</v>
      </c>
      <c r="I12" s="15" t="str">
        <f t="shared" si="2"/>
        <v>OK</v>
      </c>
      <c r="J12" s="15">
        <f t="shared" si="3"/>
        <v>0</v>
      </c>
      <c r="K12" s="12">
        <f t="shared" si="4"/>
        <v>0</v>
      </c>
      <c r="L12" s="15" t="str">
        <f>VLOOKUP(A12, Ventas!B:D, 3, 0)</f>
        <v>Limpieza</v>
      </c>
      <c r="M12" s="12">
        <f>SUMIF(Ventas!B:B, A12, Ventas!H:H)</f>
        <v>9800</v>
      </c>
      <c r="N12" s="12">
        <f>M12/(MAX(Ventas!A:A)-MIN(Ventas!A:A)+1)</f>
        <v>192.1568627</v>
      </c>
      <c r="O12" s="12">
        <f t="shared" si="5"/>
        <v>1345.098039</v>
      </c>
      <c r="P12" s="4"/>
      <c r="Q12" s="18" t="s">
        <v>51</v>
      </c>
      <c r="R12" s="20">
        <v>45.9</v>
      </c>
      <c r="S12" s="4"/>
      <c r="T12" s="27"/>
      <c r="U12" s="27"/>
      <c r="V12" s="4"/>
      <c r="W12" s="4"/>
      <c r="X12" s="4"/>
      <c r="Y12" s="4"/>
      <c r="Z12" s="4"/>
    </row>
    <row r="13" ht="22.5" customHeight="1">
      <c r="A13" s="1" t="s">
        <v>59</v>
      </c>
      <c r="B13" s="1" t="s">
        <v>45</v>
      </c>
      <c r="C13" s="9">
        <v>850.0</v>
      </c>
      <c r="D13" s="8">
        <v>3.0</v>
      </c>
      <c r="E13" s="8">
        <v>6.0</v>
      </c>
      <c r="F13" s="15">
        <f>SUMIF(Ventas!B:B,A13, Ventas!E:E)</f>
        <v>15</v>
      </c>
      <c r="G13" s="10">
        <f>F13/(MAX(Ventas!A:A)-MIN(Ventas!A:A)+1)</f>
        <v>0.2941176471</v>
      </c>
      <c r="H13" s="16">
        <f t="shared" si="1"/>
        <v>10.2</v>
      </c>
      <c r="I13" s="15" t="str">
        <f t="shared" si="2"/>
        <v>Atención</v>
      </c>
      <c r="J13" s="15">
        <f t="shared" si="3"/>
        <v>3</v>
      </c>
      <c r="K13" s="12">
        <f t="shared" si="4"/>
        <v>2550</v>
      </c>
      <c r="L13" s="15" t="str">
        <f>VLOOKUP(A13, Ventas!B:D, 3, 0)</f>
        <v>Limpieza</v>
      </c>
      <c r="M13" s="12">
        <f>SUMIF(Ventas!B:B, A13, Ventas!H:H)</f>
        <v>20250</v>
      </c>
      <c r="N13" s="12">
        <f>M13/(MAX(Ventas!A:A)-MIN(Ventas!A:A)+1)</f>
        <v>397.0588235</v>
      </c>
      <c r="O13" s="12">
        <f t="shared" si="5"/>
        <v>2779.411765</v>
      </c>
      <c r="P13" s="4"/>
      <c r="Q13" s="18" t="s">
        <v>57</v>
      </c>
      <c r="R13" s="20">
        <v>51.0</v>
      </c>
      <c r="S13" s="4"/>
      <c r="T13" s="25"/>
      <c r="U13" s="26"/>
      <c r="V13" s="4"/>
      <c r="W13" s="4"/>
      <c r="X13" s="4"/>
      <c r="Y13" s="4"/>
      <c r="Z13" s="4"/>
    </row>
    <row r="14" ht="22.5" customHeight="1">
      <c r="A14" s="1" t="s">
        <v>47</v>
      </c>
      <c r="B14" s="1" t="s">
        <v>48</v>
      </c>
      <c r="C14" s="9">
        <v>680.0</v>
      </c>
      <c r="D14" s="8">
        <v>12.0</v>
      </c>
      <c r="E14" s="8">
        <v>8.0</v>
      </c>
      <c r="F14" s="15">
        <f>SUMIF(Ventas!B:B,A14, Ventas!E:E)</f>
        <v>7</v>
      </c>
      <c r="G14" s="10">
        <f>F14/(MAX(Ventas!A:A)-MIN(Ventas!A:A)+1)</f>
        <v>0.137254902</v>
      </c>
      <c r="H14" s="16">
        <f t="shared" si="1"/>
        <v>87.42857143</v>
      </c>
      <c r="I14" s="15" t="str">
        <f t="shared" si="2"/>
        <v>OK</v>
      </c>
      <c r="J14" s="15">
        <f t="shared" si="3"/>
        <v>0</v>
      </c>
      <c r="K14" s="12">
        <f t="shared" si="4"/>
        <v>0</v>
      </c>
      <c r="L14" s="15" t="str">
        <f>VLOOKUP(A14, Ventas!B:D, 3, 0)</f>
        <v>Almacén</v>
      </c>
      <c r="M14" s="12">
        <f>SUMIF(Ventas!B:B, A14, Ventas!H:H)</f>
        <v>7350</v>
      </c>
      <c r="N14" s="12">
        <f>M14/(MAX(Ventas!A:A)-MIN(Ventas!A:A)+1)</f>
        <v>144.1176471</v>
      </c>
      <c r="O14" s="12">
        <f t="shared" si="5"/>
        <v>1008.823529</v>
      </c>
      <c r="P14" s="4"/>
      <c r="Q14" s="18" t="s">
        <v>61</v>
      </c>
      <c r="R14" s="20">
        <v>51.0</v>
      </c>
      <c r="S14" s="4"/>
      <c r="T14" s="25"/>
      <c r="U14" s="26"/>
      <c r="V14" s="4"/>
      <c r="W14" s="4"/>
      <c r="X14" s="4"/>
      <c r="Y14" s="4"/>
      <c r="Z14" s="4"/>
    </row>
    <row r="15" ht="22.5" customHeight="1">
      <c r="A15" s="1" t="s">
        <v>53</v>
      </c>
      <c r="B15" s="1" t="s">
        <v>54</v>
      </c>
      <c r="C15" s="9">
        <v>490.0</v>
      </c>
      <c r="D15" s="8">
        <v>5.0</v>
      </c>
      <c r="E15" s="8">
        <v>8.0</v>
      </c>
      <c r="F15" s="15">
        <f>SUMIF(Ventas!B:B,A15, Ventas!E:E)</f>
        <v>11</v>
      </c>
      <c r="G15" s="10">
        <f>F15/(MAX(Ventas!A:A)-MIN(Ventas!A:A)+1)</f>
        <v>0.2156862745</v>
      </c>
      <c r="H15" s="16">
        <f t="shared" si="1"/>
        <v>23.18181818</v>
      </c>
      <c r="I15" s="15" t="str">
        <f t="shared" si="2"/>
        <v>OK</v>
      </c>
      <c r="J15" s="15">
        <f t="shared" si="3"/>
        <v>3</v>
      </c>
      <c r="K15" s="12">
        <f t="shared" si="4"/>
        <v>1470</v>
      </c>
      <c r="L15" s="15" t="str">
        <f>VLOOKUP(A15, Ventas!B:D, 3, 0)</f>
        <v>Almacén</v>
      </c>
      <c r="M15" s="12">
        <f>SUMIF(Ventas!B:B, A15, Ventas!H:H)</f>
        <v>8580</v>
      </c>
      <c r="N15" s="12">
        <f>M15/(MAX(Ventas!A:A)-MIN(Ventas!A:A)+1)</f>
        <v>168.2352941</v>
      </c>
      <c r="O15" s="12">
        <f t="shared" si="5"/>
        <v>1177.647059</v>
      </c>
      <c r="P15" s="4"/>
      <c r="Q15" s="18" t="s">
        <v>48</v>
      </c>
      <c r="R15" s="20">
        <v>87.42857142857142</v>
      </c>
      <c r="S15" s="4"/>
      <c r="T15" s="25"/>
      <c r="U15" s="26"/>
      <c r="V15" s="4"/>
      <c r="W15" s="4"/>
      <c r="X15" s="4"/>
      <c r="Y15" s="4"/>
      <c r="Z15" s="4"/>
    </row>
    <row r="16" ht="22.5" customHeight="1">
      <c r="A16" s="1" t="s">
        <v>62</v>
      </c>
      <c r="B16" s="1" t="s">
        <v>63</v>
      </c>
      <c r="C16" s="9">
        <v>950.0</v>
      </c>
      <c r="D16" s="8">
        <v>19.0</v>
      </c>
      <c r="E16" s="8">
        <v>10.0</v>
      </c>
      <c r="F16" s="15">
        <f>SUMIF(Ventas!B:B,A16, Ventas!E:E)</f>
        <v>5</v>
      </c>
      <c r="G16" s="10">
        <f>F16/(MAX(Ventas!A:A)-MIN(Ventas!A:A)+1)</f>
        <v>0.09803921569</v>
      </c>
      <c r="H16" s="16">
        <f t="shared" si="1"/>
        <v>193.8</v>
      </c>
      <c r="I16" s="15" t="str">
        <f t="shared" si="2"/>
        <v>OK</v>
      </c>
      <c r="J16" s="15">
        <f t="shared" si="3"/>
        <v>0</v>
      </c>
      <c r="K16" s="12">
        <f t="shared" si="4"/>
        <v>0</v>
      </c>
      <c r="L16" s="15" t="str">
        <f>VLOOKUP(A16, Ventas!B:D, 3, 0)</f>
        <v>Lácteos</v>
      </c>
      <c r="M16" s="12">
        <f>SUMIF(Ventas!B:B, A16, Ventas!H:H)</f>
        <v>7000</v>
      </c>
      <c r="N16" s="12">
        <f>M16/(MAX(Ventas!A:A)-MIN(Ventas!A:A)+1)</f>
        <v>137.254902</v>
      </c>
      <c r="O16" s="12">
        <f t="shared" si="5"/>
        <v>960.7843137</v>
      </c>
      <c r="P16" s="4"/>
      <c r="Q16" s="18" t="s">
        <v>63</v>
      </c>
      <c r="R16" s="20">
        <v>193.8</v>
      </c>
      <c r="S16" s="4"/>
      <c r="T16" s="25"/>
      <c r="U16" s="26"/>
      <c r="V16" s="4"/>
      <c r="W16" s="4"/>
      <c r="X16" s="4"/>
      <c r="Y16" s="4"/>
      <c r="Z16" s="4"/>
    </row>
    <row r="17">
      <c r="A17" s="28"/>
      <c r="B17" s="28"/>
      <c r="C17" s="28"/>
      <c r="D17" s="28"/>
      <c r="E17" s="28"/>
      <c r="F17" s="28"/>
      <c r="G17" s="29"/>
      <c r="H17" s="29"/>
      <c r="I17" s="28"/>
      <c r="J17" s="28"/>
      <c r="K17" s="28"/>
      <c r="L17" s="30"/>
      <c r="M17" s="30"/>
      <c r="N17" s="30"/>
      <c r="O17" s="3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1" t="s">
        <v>64</v>
      </c>
      <c r="B18" s="32">
        <f>SUM(K2:K16)</f>
        <v>26620</v>
      </c>
      <c r="G18" s="33"/>
      <c r="H18" s="3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1" t="s">
        <v>65</v>
      </c>
      <c r="B19" s="32">
        <f>SUMIF(I2:I16, "URGENTE", K2:K16)</f>
        <v>12880</v>
      </c>
      <c r="G19" s="33"/>
      <c r="H19" s="3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G20" s="33"/>
      <c r="H20" s="3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1" t="s">
        <v>3</v>
      </c>
      <c r="B21" s="1" t="s">
        <v>66</v>
      </c>
      <c r="C21" s="1" t="s">
        <v>67</v>
      </c>
      <c r="D21" s="1" t="s">
        <v>68</v>
      </c>
      <c r="E21" s="4"/>
      <c r="F21" s="4"/>
      <c r="G21" s="34"/>
      <c r="H21" s="34"/>
      <c r="I21" s="4"/>
      <c r="J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35" t="s">
        <v>13</v>
      </c>
      <c r="B22" s="36">
        <f t="shared" ref="B22:B26" si="6">COUNTIF($L$2:$L$16, A22)</f>
        <v>2</v>
      </c>
      <c r="C22" s="36">
        <f t="shared" ref="C22:C26" si="7">COUNTIFS($L$2:$L$16 ,A22 ,$I$2:$I$16, "&lt;&gt;OK")</f>
        <v>1</v>
      </c>
      <c r="D22" s="37">
        <f t="shared" ref="D22:D26" si="8">SUMIF($L$2:$L$16,A22,$K$2:$K$16)</f>
        <v>9280</v>
      </c>
      <c r="E22" s="4"/>
      <c r="F22" s="4"/>
      <c r="G22" s="34"/>
      <c r="H22" s="34"/>
      <c r="I22" s="4"/>
      <c r="J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35" t="s">
        <v>30</v>
      </c>
      <c r="B23" s="36">
        <f t="shared" si="6"/>
        <v>5</v>
      </c>
      <c r="C23" s="36">
        <f t="shared" si="7"/>
        <v>0</v>
      </c>
      <c r="D23" s="37">
        <f t="shared" si="8"/>
        <v>5430</v>
      </c>
      <c r="E23" s="4"/>
      <c r="F23" s="4"/>
      <c r="G23" s="34"/>
      <c r="H23" s="34"/>
      <c r="I23" s="4"/>
      <c r="J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35" t="s">
        <v>41</v>
      </c>
      <c r="B24" s="36">
        <f t="shared" si="6"/>
        <v>1</v>
      </c>
      <c r="C24" s="36">
        <f t="shared" si="7"/>
        <v>1</v>
      </c>
      <c r="D24" s="37">
        <f t="shared" si="8"/>
        <v>3600</v>
      </c>
      <c r="E24" s="4"/>
      <c r="F24" s="4"/>
      <c r="G24" s="34"/>
      <c r="H24" s="34"/>
      <c r="I24" s="4"/>
      <c r="J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35" t="s">
        <v>44</v>
      </c>
      <c r="B25" s="36">
        <f t="shared" si="6"/>
        <v>3</v>
      </c>
      <c r="C25" s="36">
        <f t="shared" si="7"/>
        <v>1</v>
      </c>
      <c r="D25" s="37">
        <f t="shared" si="8"/>
        <v>3840</v>
      </c>
      <c r="E25" s="4"/>
      <c r="F25" s="4"/>
      <c r="G25" s="34"/>
      <c r="H25" s="34"/>
      <c r="I25" s="4"/>
      <c r="J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35" t="s">
        <v>52</v>
      </c>
      <c r="B26" s="36">
        <f t="shared" si="6"/>
        <v>4</v>
      </c>
      <c r="C26" s="36">
        <f t="shared" si="7"/>
        <v>2</v>
      </c>
      <c r="D26" s="37">
        <f t="shared" si="8"/>
        <v>4470</v>
      </c>
      <c r="E26" s="4"/>
      <c r="F26" s="4"/>
      <c r="G26" s="34"/>
      <c r="H26" s="34"/>
      <c r="I26" s="4"/>
      <c r="J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</sheetData>
  <conditionalFormatting sqref="I2:I16">
    <cfRule type="containsText" dxfId="5" priority="1" operator="containsText" text="URGENTE">
      <formula>NOT(ISERROR(SEARCH(("URGENTE"),(I2))))</formula>
    </cfRule>
  </conditionalFormatting>
  <conditionalFormatting sqref="I2:I16">
    <cfRule type="containsText" dxfId="6" priority="2" operator="containsText" text="Atención">
      <formula>NOT(ISERROR(SEARCH(("Atención"),(I2))))</formula>
    </cfRule>
  </conditionalFormatting>
  <conditionalFormatting sqref="I2:I16">
    <cfRule type="containsText" dxfId="7" priority="3" operator="containsText" text="OK">
      <formula>NOT(ISERROR(SEARCH(("OK"),(I2))))</formula>
    </cfRule>
  </conditionalFormatting>
  <dataValidations>
    <dataValidation type="custom" allowBlank="1" showDropDown="1" sqref="C2:E16 K2:K16 M2:M16 D22:D26">
      <formula1>AND(ISNUMBER(C2),(NOT(OR(NOT(ISERROR(DATEVALUE(C2))), AND(ISNUMBER(C2), LEFT(CELL("format", C2))="D")))))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7.63"/>
  </cols>
  <sheetData>
    <row r="1">
      <c r="A1" s="4"/>
      <c r="B1" s="17" t="s">
        <v>31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19" t="s">
        <v>33</v>
      </c>
      <c r="D3" s="19" t="s">
        <v>34</v>
      </c>
      <c r="F3" s="19" t="s">
        <v>35</v>
      </c>
      <c r="H3" s="19" t="s">
        <v>36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22">
        <f>COUNTA(Productos!A2:A16)</f>
        <v>15</v>
      </c>
      <c r="D4" s="22">
        <f>COUNTIF(Productos!I2:I16,"&lt;&gt;OK")</f>
        <v>5</v>
      </c>
      <c r="F4" s="23">
        <f>COUNTIF(Productos!I2:I16,"URGENTE")</f>
        <v>2</v>
      </c>
      <c r="H4" s="24">
        <f>Productos!B19</f>
        <v>12880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</sheetData>
  <mergeCells count="9">
    <mergeCell ref="F4:G4"/>
    <mergeCell ref="H4:I4"/>
    <mergeCell ref="B1:G1"/>
    <mergeCell ref="B3:C3"/>
    <mergeCell ref="D3:E3"/>
    <mergeCell ref="F3:G3"/>
    <mergeCell ref="H3:I3"/>
    <mergeCell ref="B4:C4"/>
    <mergeCell ref="D4:E4"/>
  </mergeCells>
  <drawing r:id="rId1"/>
</worksheet>
</file>